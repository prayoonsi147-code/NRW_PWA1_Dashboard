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WA\น้ำรับ-ส่ง\"/>
    </mc:Choice>
  </mc:AlternateContent>
  <xr:revisionPtr revIDLastSave="0" documentId="13_ncr:1_{36FD14C7-204B-48CD-BDF0-6719B5F6E081}" xr6:coauthVersionLast="47" xr6:coauthVersionMax="47" xr10:uidLastSave="{00000000-0000-0000-0000-000000000000}"/>
  <bookViews>
    <workbookView xWindow="-120" yWindow="-120" windowWidth="24240" windowHeight="13020" activeTab="3" xr2:uid="{00000000-000D-0000-FFFF-FFFF00000000}"/>
  </bookViews>
  <sheets>
    <sheet name="10" sheetId="103" r:id="rId1"/>
    <sheet name="11" sheetId="115" r:id="rId2"/>
    <sheet name="12" sheetId="116" r:id="rId3"/>
    <sheet name="01" sheetId="117" r:id="rId4"/>
    <sheet name="02" sheetId="107" r:id="rId5"/>
    <sheet name="03" sheetId="108" r:id="rId6"/>
    <sheet name="04" sheetId="109" r:id="rId7"/>
    <sheet name="05" sheetId="110" r:id="rId8"/>
    <sheet name="06" sheetId="111" r:id="rId9"/>
    <sheet name="07" sheetId="112" r:id="rId10"/>
    <sheet name="08" sheetId="113" r:id="rId11"/>
    <sheet name="09" sheetId="114" r:id="rId12"/>
  </sheets>
  <definedNames>
    <definedName name="_xlnm.Print_Area" localSheetId="3">'01'!$A$1:$E$158</definedName>
    <definedName name="_xlnm.Print_Area" localSheetId="4">'02'!$A$1:$E$155</definedName>
    <definedName name="_xlnm.Print_Area" localSheetId="5">'03'!$A$1:$E$155</definedName>
    <definedName name="_xlnm.Print_Area" localSheetId="6">'04'!$A$1:$E$155</definedName>
    <definedName name="_xlnm.Print_Area" localSheetId="7">'05'!$A$1:$E$155</definedName>
    <definedName name="_xlnm.Print_Area" localSheetId="8">'06'!$A$1:$E$155</definedName>
    <definedName name="_xlnm.Print_Area" localSheetId="9">'07'!$A$1:$E$155</definedName>
    <definedName name="_xlnm.Print_Area" localSheetId="10">'08'!$A$1:$E$155</definedName>
    <definedName name="_xlnm.Print_Area" localSheetId="11">'09'!$A$1:$E$155</definedName>
    <definedName name="_xlnm.Print_Area" localSheetId="0">'10'!$A$1:$E$158</definedName>
    <definedName name="_xlnm.Print_Area" localSheetId="1">'11'!$A$1:$E$158</definedName>
    <definedName name="_xlnm.Print_Area" localSheetId="2">'12'!$A$1:$E$158</definedName>
    <definedName name="_xlnm.Print_Titles" localSheetId="3">'01'!$1:$4</definedName>
    <definedName name="_xlnm.Print_Titles" localSheetId="4">'02'!$1:$4</definedName>
    <definedName name="_xlnm.Print_Titles" localSheetId="5">'03'!$1:$4</definedName>
    <definedName name="_xlnm.Print_Titles" localSheetId="6">'04'!$1:$4</definedName>
    <definedName name="_xlnm.Print_Titles" localSheetId="7">'05'!$1:$4</definedName>
    <definedName name="_xlnm.Print_Titles" localSheetId="8">'06'!$1:$4</definedName>
    <definedName name="_xlnm.Print_Titles" localSheetId="9">'07'!$1:$4</definedName>
    <definedName name="_xlnm.Print_Titles" localSheetId="10">'08'!$1:$4</definedName>
    <definedName name="_xlnm.Print_Titles" localSheetId="11">'09'!$1:$4</definedName>
    <definedName name="_xlnm.Print_Titles" localSheetId="0">'10'!$1:$4</definedName>
    <definedName name="_xlnm.Print_Titles" localSheetId="1">'11'!$1:$4</definedName>
    <definedName name="_xlnm.Print_Titles" localSheetId="2">'12'!$1:$4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0" i="117" l="1"/>
  <c r="E158" i="117"/>
  <c r="D158" i="117"/>
  <c r="H157" i="117"/>
  <c r="H155" i="117"/>
  <c r="H154" i="117"/>
  <c r="H153" i="117"/>
  <c r="H151" i="117"/>
  <c r="H150" i="117"/>
  <c r="H148" i="117"/>
  <c r="H147" i="117"/>
  <c r="H146" i="117"/>
  <c r="H144" i="117"/>
  <c r="H143" i="117"/>
  <c r="H142" i="117"/>
  <c r="H140" i="117"/>
  <c r="H139" i="117"/>
  <c r="H137" i="117"/>
  <c r="H136" i="117"/>
  <c r="H135" i="117"/>
  <c r="H133" i="117"/>
  <c r="H132" i="117"/>
  <c r="H131" i="117"/>
  <c r="H130" i="117"/>
  <c r="H128" i="117"/>
  <c r="H127" i="117"/>
  <c r="H126" i="117"/>
  <c r="H125" i="117"/>
  <c r="H123" i="117"/>
  <c r="H122" i="117"/>
  <c r="H121" i="117"/>
  <c r="H120" i="117"/>
  <c r="H119" i="117"/>
  <c r="H118" i="117"/>
  <c r="H116" i="117"/>
  <c r="H115" i="117"/>
  <c r="H114" i="117"/>
  <c r="H113" i="117"/>
  <c r="H111" i="117"/>
  <c r="H109" i="117"/>
  <c r="H107" i="117"/>
  <c r="H106" i="117"/>
  <c r="H105" i="117"/>
  <c r="H104" i="117"/>
  <c r="H103" i="117"/>
  <c r="H102" i="117"/>
  <c r="H101" i="117"/>
  <c r="H100" i="117"/>
  <c r="H99" i="117"/>
  <c r="H98" i="117"/>
  <c r="H97" i="117"/>
  <c r="H96" i="117"/>
  <c r="H95" i="117"/>
  <c r="H94" i="117"/>
  <c r="H93" i="117"/>
  <c r="H92" i="117"/>
  <c r="H91" i="117"/>
  <c r="H90" i="117"/>
  <c r="H89" i="117"/>
  <c r="H88" i="117"/>
  <c r="H87" i="117"/>
  <c r="H86" i="117"/>
  <c r="H85" i="117"/>
  <c r="H81" i="117"/>
  <c r="H79" i="117"/>
  <c r="H76" i="117"/>
  <c r="H74" i="117"/>
  <c r="H72" i="117"/>
  <c r="H69" i="117"/>
  <c r="H68" i="117"/>
  <c r="H66" i="117"/>
  <c r="H63" i="117"/>
  <c r="H62" i="117"/>
  <c r="H60" i="117"/>
  <c r="H59" i="117"/>
  <c r="H57" i="117"/>
  <c r="H56" i="117"/>
  <c r="H55" i="117"/>
  <c r="H53" i="117"/>
  <c r="H52" i="117"/>
  <c r="H51" i="117"/>
  <c r="H50" i="117"/>
  <c r="H49" i="117"/>
  <c r="H48" i="117"/>
  <c r="H47" i="117"/>
  <c r="H46" i="117"/>
  <c r="H45" i="117"/>
  <c r="H44" i="117"/>
  <c r="H43" i="117"/>
  <c r="H42" i="117"/>
  <c r="H41" i="117"/>
  <c r="H40" i="117"/>
  <c r="H39" i="117"/>
  <c r="H38" i="117"/>
  <c r="H37" i="117"/>
  <c r="H35" i="117"/>
  <c r="H34" i="117"/>
  <c r="H33" i="117"/>
  <c r="H32" i="117"/>
  <c r="H30" i="117"/>
  <c r="H29" i="117"/>
  <c r="H28" i="117"/>
  <c r="H27" i="117"/>
  <c r="H26" i="117"/>
  <c r="H25" i="117"/>
  <c r="H24" i="117"/>
  <c r="H23" i="117"/>
  <c r="H22" i="117"/>
  <c r="H21" i="117"/>
  <c r="H20" i="117"/>
  <c r="H19" i="117"/>
  <c r="H18" i="117"/>
  <c r="H15" i="117"/>
  <c r="H13" i="117"/>
  <c r="H12" i="117"/>
  <c r="H11" i="117"/>
  <c r="H10" i="117"/>
  <c r="H7" i="117"/>
  <c r="H6" i="117"/>
  <c r="D158" i="115"/>
  <c r="D158" i="116"/>
  <c r="H20" i="116"/>
  <c r="E160" i="116"/>
  <c r="E158" i="116"/>
  <c r="H157" i="116"/>
  <c r="H155" i="116"/>
  <c r="H154" i="116"/>
  <c r="H153" i="116"/>
  <c r="H151" i="116"/>
  <c r="H150" i="116"/>
  <c r="H148" i="116"/>
  <c r="H147" i="116"/>
  <c r="H146" i="116"/>
  <c r="H144" i="116"/>
  <c r="H143" i="116"/>
  <c r="H142" i="116"/>
  <c r="H140" i="116"/>
  <c r="H139" i="116"/>
  <c r="H137" i="116"/>
  <c r="H136" i="116"/>
  <c r="H135" i="116"/>
  <c r="H133" i="116"/>
  <c r="H132" i="116"/>
  <c r="H131" i="116"/>
  <c r="H130" i="116"/>
  <c r="H128" i="116"/>
  <c r="H127" i="116"/>
  <c r="H126" i="116"/>
  <c r="H125" i="116"/>
  <c r="H123" i="116"/>
  <c r="H122" i="116"/>
  <c r="H121" i="116"/>
  <c r="H120" i="116"/>
  <c r="H119" i="116"/>
  <c r="H118" i="116"/>
  <c r="H116" i="116"/>
  <c r="H115" i="116"/>
  <c r="H114" i="116"/>
  <c r="H113" i="116"/>
  <c r="H111" i="116"/>
  <c r="H109" i="116"/>
  <c r="H107" i="116"/>
  <c r="H106" i="116"/>
  <c r="H105" i="116"/>
  <c r="H104" i="116"/>
  <c r="H103" i="116"/>
  <c r="H102" i="116"/>
  <c r="H101" i="116"/>
  <c r="H100" i="116"/>
  <c r="H99" i="116"/>
  <c r="H98" i="116"/>
  <c r="H97" i="116"/>
  <c r="H96" i="116"/>
  <c r="H95" i="116"/>
  <c r="H94" i="116"/>
  <c r="H93" i="116"/>
  <c r="H92" i="116"/>
  <c r="H91" i="116"/>
  <c r="H90" i="116"/>
  <c r="H89" i="116"/>
  <c r="H88" i="116"/>
  <c r="H87" i="116"/>
  <c r="H86" i="116"/>
  <c r="H85" i="116"/>
  <c r="H81" i="116"/>
  <c r="H79" i="116"/>
  <c r="H76" i="116"/>
  <c r="H74" i="116"/>
  <c r="H72" i="116"/>
  <c r="H69" i="116"/>
  <c r="H68" i="116"/>
  <c r="H66" i="116"/>
  <c r="H63" i="116"/>
  <c r="H62" i="116"/>
  <c r="H60" i="116"/>
  <c r="H59" i="116"/>
  <c r="H57" i="116"/>
  <c r="H56" i="116"/>
  <c r="H55" i="116"/>
  <c r="H53" i="116"/>
  <c r="H52" i="116"/>
  <c r="H51" i="116"/>
  <c r="H50" i="116"/>
  <c r="H49" i="116"/>
  <c r="H48" i="116"/>
  <c r="H47" i="116"/>
  <c r="H46" i="116"/>
  <c r="H45" i="116"/>
  <c r="H44" i="116"/>
  <c r="H43" i="116"/>
  <c r="H42" i="116"/>
  <c r="H41" i="116"/>
  <c r="H40" i="116"/>
  <c r="H39" i="116"/>
  <c r="H38" i="116"/>
  <c r="H37" i="116"/>
  <c r="H35" i="116"/>
  <c r="H34" i="116"/>
  <c r="H33" i="116"/>
  <c r="H32" i="116"/>
  <c r="H30" i="116"/>
  <c r="H29" i="116"/>
  <c r="H28" i="116"/>
  <c r="H27" i="116"/>
  <c r="H26" i="116"/>
  <c r="H25" i="116"/>
  <c r="H24" i="116"/>
  <c r="H23" i="116"/>
  <c r="H22" i="116"/>
  <c r="H21" i="116"/>
  <c r="H19" i="116"/>
  <c r="H18" i="116"/>
  <c r="H15" i="116"/>
  <c r="H13" i="116"/>
  <c r="H12" i="116"/>
  <c r="H11" i="116"/>
  <c r="H10" i="116"/>
  <c r="H7" i="116"/>
  <c r="H6" i="116"/>
  <c r="E160" i="115"/>
  <c r="E158" i="115"/>
  <c r="H157" i="115"/>
  <c r="H155" i="115"/>
  <c r="H154" i="115"/>
  <c r="H153" i="115"/>
  <c r="H151" i="115"/>
  <c r="H150" i="115"/>
  <c r="H148" i="115"/>
  <c r="H147" i="115"/>
  <c r="H146" i="115"/>
  <c r="H144" i="115"/>
  <c r="H143" i="115"/>
  <c r="H142" i="115"/>
  <c r="H140" i="115"/>
  <c r="H139" i="115"/>
  <c r="H137" i="115"/>
  <c r="H136" i="115"/>
  <c r="H135" i="115"/>
  <c r="H133" i="115"/>
  <c r="H132" i="115"/>
  <c r="H131" i="115"/>
  <c r="H130" i="115"/>
  <c r="H128" i="115"/>
  <c r="H127" i="115"/>
  <c r="H126" i="115"/>
  <c r="H125" i="115"/>
  <c r="H123" i="115"/>
  <c r="H122" i="115"/>
  <c r="H121" i="115"/>
  <c r="H120" i="115"/>
  <c r="H119" i="115"/>
  <c r="H118" i="115"/>
  <c r="H116" i="115"/>
  <c r="H115" i="115"/>
  <c r="H114" i="115"/>
  <c r="H113" i="115"/>
  <c r="H111" i="115"/>
  <c r="H109" i="115"/>
  <c r="H107" i="115"/>
  <c r="H106" i="115"/>
  <c r="H105" i="115"/>
  <c r="H104" i="115"/>
  <c r="H103" i="115"/>
  <c r="H102" i="115"/>
  <c r="H101" i="115"/>
  <c r="H100" i="115"/>
  <c r="H99" i="115"/>
  <c r="H98" i="115"/>
  <c r="H97" i="115"/>
  <c r="H96" i="115"/>
  <c r="H95" i="115"/>
  <c r="H94" i="115"/>
  <c r="H93" i="115"/>
  <c r="H92" i="115"/>
  <c r="H91" i="115"/>
  <c r="H90" i="115"/>
  <c r="H89" i="115"/>
  <c r="H88" i="115"/>
  <c r="H87" i="115"/>
  <c r="H86" i="115"/>
  <c r="H85" i="115"/>
  <c r="H81" i="115"/>
  <c r="H79" i="115"/>
  <c r="H76" i="115"/>
  <c r="H74" i="115"/>
  <c r="H72" i="115"/>
  <c r="H69" i="115"/>
  <c r="H68" i="115"/>
  <c r="H66" i="115"/>
  <c r="H63" i="115"/>
  <c r="H62" i="115"/>
  <c r="H60" i="115"/>
  <c r="H59" i="115"/>
  <c r="H57" i="115"/>
  <c r="H56" i="115"/>
  <c r="H55" i="115"/>
  <c r="H53" i="115"/>
  <c r="H52" i="115"/>
  <c r="H51" i="115"/>
  <c r="H50" i="115"/>
  <c r="H49" i="115"/>
  <c r="H48" i="115"/>
  <c r="H47" i="115"/>
  <c r="H46" i="115"/>
  <c r="H45" i="115"/>
  <c r="H44" i="115"/>
  <c r="H43" i="115"/>
  <c r="H42" i="115"/>
  <c r="H41" i="115"/>
  <c r="H40" i="115"/>
  <c r="H39" i="115"/>
  <c r="H38" i="115"/>
  <c r="H37" i="115"/>
  <c r="H35" i="115"/>
  <c r="H34" i="115"/>
  <c r="H33" i="115"/>
  <c r="H32" i="115"/>
  <c r="H30" i="115"/>
  <c r="H29" i="115"/>
  <c r="H28" i="115"/>
  <c r="H27" i="115"/>
  <c r="H26" i="115"/>
  <c r="H25" i="115"/>
  <c r="H24" i="115"/>
  <c r="H23" i="115"/>
  <c r="H22" i="115"/>
  <c r="H21" i="115"/>
  <c r="H20" i="115"/>
  <c r="H19" i="115"/>
  <c r="H18" i="115"/>
  <c r="H15" i="115"/>
  <c r="H13" i="115"/>
  <c r="H12" i="115"/>
  <c r="H11" i="115"/>
  <c r="H10" i="115"/>
  <c r="H7" i="115"/>
  <c r="H6" i="115"/>
  <c r="H120" i="103"/>
  <c r="D158" i="103"/>
  <c r="E160" i="103"/>
  <c r="E158" i="103"/>
  <c r="H157" i="103"/>
  <c r="H140" i="103"/>
  <c r="E157" i="114"/>
  <c r="E155" i="114"/>
  <c r="D155" i="114"/>
  <c r="D157" i="114" s="1"/>
  <c r="H154" i="114"/>
  <c r="H153" i="114"/>
  <c r="H152" i="114"/>
  <c r="H150" i="114"/>
  <c r="H149" i="114"/>
  <c r="H147" i="114"/>
  <c r="H146" i="114"/>
  <c r="H145" i="114"/>
  <c r="H143" i="114"/>
  <c r="H142" i="114"/>
  <c r="H141" i="114"/>
  <c r="H139" i="114"/>
  <c r="H137" i="114"/>
  <c r="H136" i="114"/>
  <c r="H135" i="114"/>
  <c r="H133" i="114"/>
  <c r="H132" i="114"/>
  <c r="H131" i="114"/>
  <c r="H130" i="114"/>
  <c r="H128" i="114"/>
  <c r="H127" i="114"/>
  <c r="H126" i="114"/>
  <c r="H125" i="114"/>
  <c r="H123" i="114"/>
  <c r="H122" i="114"/>
  <c r="H121" i="114"/>
  <c r="H120" i="114"/>
  <c r="H119" i="114"/>
  <c r="H118" i="114"/>
  <c r="H116" i="114"/>
  <c r="H115" i="114"/>
  <c r="H114" i="114"/>
  <c r="H113" i="114"/>
  <c r="H111" i="114"/>
  <c r="H109" i="114"/>
  <c r="H107" i="114"/>
  <c r="H106" i="114"/>
  <c r="H105" i="114"/>
  <c r="H104" i="114"/>
  <c r="H103" i="114"/>
  <c r="H102" i="114"/>
  <c r="H101" i="114"/>
  <c r="H100" i="114"/>
  <c r="H99" i="114"/>
  <c r="H98" i="114"/>
  <c r="H97" i="114"/>
  <c r="H96" i="114"/>
  <c r="H95" i="114"/>
  <c r="H94" i="114"/>
  <c r="H93" i="114"/>
  <c r="H92" i="114"/>
  <c r="H91" i="114"/>
  <c r="H90" i="114"/>
  <c r="H89" i="114"/>
  <c r="H88" i="114"/>
  <c r="H87" i="114"/>
  <c r="H86" i="114"/>
  <c r="H85" i="114"/>
  <c r="H81" i="114"/>
  <c r="H79" i="114"/>
  <c r="H76" i="114"/>
  <c r="H74" i="114"/>
  <c r="H72" i="114"/>
  <c r="H69" i="114"/>
  <c r="H68" i="114"/>
  <c r="H66" i="114"/>
  <c r="H63" i="114"/>
  <c r="H62" i="114"/>
  <c r="H60" i="114"/>
  <c r="H59" i="114"/>
  <c r="H57" i="114"/>
  <c r="H56" i="114"/>
  <c r="H55" i="114"/>
  <c r="H53" i="114"/>
  <c r="H52" i="114"/>
  <c r="H51" i="114"/>
  <c r="H50" i="114"/>
  <c r="H49" i="114"/>
  <c r="H48" i="114"/>
  <c r="H47" i="114"/>
  <c r="H46" i="114"/>
  <c r="H45" i="114"/>
  <c r="H44" i="114"/>
  <c r="H43" i="114"/>
  <c r="H42" i="114"/>
  <c r="H41" i="114"/>
  <c r="H40" i="114"/>
  <c r="H39" i="114"/>
  <c r="H38" i="114"/>
  <c r="H37" i="114"/>
  <c r="H35" i="114"/>
  <c r="H34" i="114"/>
  <c r="H33" i="114"/>
  <c r="H32" i="114"/>
  <c r="H30" i="114"/>
  <c r="H29" i="114"/>
  <c r="H28" i="114"/>
  <c r="H27" i="114"/>
  <c r="H26" i="114"/>
  <c r="H25" i="114"/>
  <c r="H24" i="114"/>
  <c r="H23" i="114"/>
  <c r="H22" i="114"/>
  <c r="H21" i="114"/>
  <c r="H20" i="114"/>
  <c r="H19" i="114"/>
  <c r="H18" i="114"/>
  <c r="H15" i="114"/>
  <c r="H13" i="114"/>
  <c r="H12" i="114"/>
  <c r="H11" i="114"/>
  <c r="H10" i="114"/>
  <c r="H7" i="114"/>
  <c r="H155" i="114" s="1"/>
  <c r="H6" i="114"/>
  <c r="E157" i="113"/>
  <c r="E155" i="113"/>
  <c r="D155" i="113"/>
  <c r="D157" i="113" s="1"/>
  <c r="H154" i="113"/>
  <c r="H153" i="113"/>
  <c r="H152" i="113"/>
  <c r="H150" i="113"/>
  <c r="H149" i="113"/>
  <c r="H147" i="113"/>
  <c r="H146" i="113"/>
  <c r="H145" i="113"/>
  <c r="H143" i="113"/>
  <c r="H142" i="113"/>
  <c r="H141" i="113"/>
  <c r="H139" i="113"/>
  <c r="H137" i="113"/>
  <c r="H136" i="113"/>
  <c r="H135" i="113"/>
  <c r="H133" i="113"/>
  <c r="H132" i="113"/>
  <c r="H131" i="113"/>
  <c r="H130" i="113"/>
  <c r="H128" i="113"/>
  <c r="H127" i="113"/>
  <c r="H126" i="113"/>
  <c r="H125" i="113"/>
  <c r="H123" i="113"/>
  <c r="H122" i="113"/>
  <c r="H121" i="113"/>
  <c r="H120" i="113"/>
  <c r="H119" i="113"/>
  <c r="H118" i="113"/>
  <c r="H116" i="113"/>
  <c r="H115" i="113"/>
  <c r="H114" i="113"/>
  <c r="H113" i="113"/>
  <c r="H111" i="113"/>
  <c r="H109" i="113"/>
  <c r="H107" i="113"/>
  <c r="H106" i="113"/>
  <c r="H105" i="113"/>
  <c r="H104" i="113"/>
  <c r="H103" i="113"/>
  <c r="H102" i="113"/>
  <c r="H101" i="113"/>
  <c r="H100" i="113"/>
  <c r="H99" i="113"/>
  <c r="H98" i="113"/>
  <c r="H97" i="113"/>
  <c r="H96" i="113"/>
  <c r="H95" i="113"/>
  <c r="H94" i="113"/>
  <c r="H93" i="113"/>
  <c r="H92" i="113"/>
  <c r="H91" i="113"/>
  <c r="H90" i="113"/>
  <c r="H89" i="113"/>
  <c r="H88" i="113"/>
  <c r="H87" i="113"/>
  <c r="H86" i="113"/>
  <c r="H85" i="113"/>
  <c r="H81" i="113"/>
  <c r="H79" i="113"/>
  <c r="H76" i="113"/>
  <c r="H74" i="113"/>
  <c r="H72" i="113"/>
  <c r="H69" i="113"/>
  <c r="H68" i="113"/>
  <c r="H66" i="113"/>
  <c r="H63" i="113"/>
  <c r="H62" i="113"/>
  <c r="H60" i="113"/>
  <c r="H59" i="113"/>
  <c r="H57" i="113"/>
  <c r="H56" i="113"/>
  <c r="H55" i="113"/>
  <c r="H53" i="113"/>
  <c r="H52" i="113"/>
  <c r="H51" i="113"/>
  <c r="H50" i="113"/>
  <c r="H49" i="113"/>
  <c r="H48" i="113"/>
  <c r="H47" i="113"/>
  <c r="H46" i="113"/>
  <c r="H45" i="113"/>
  <c r="H44" i="113"/>
  <c r="H43" i="113"/>
  <c r="H42" i="113"/>
  <c r="H41" i="113"/>
  <c r="H40" i="113"/>
  <c r="H39" i="113"/>
  <c r="H38" i="113"/>
  <c r="H37" i="113"/>
  <c r="H35" i="113"/>
  <c r="H34" i="113"/>
  <c r="H33" i="113"/>
  <c r="H32" i="113"/>
  <c r="H30" i="113"/>
  <c r="H29" i="113"/>
  <c r="H28" i="113"/>
  <c r="H27" i="113"/>
  <c r="H26" i="113"/>
  <c r="H25" i="113"/>
  <c r="H24" i="113"/>
  <c r="H23" i="113"/>
  <c r="H22" i="113"/>
  <c r="H21" i="113"/>
  <c r="H20" i="113"/>
  <c r="H19" i="113"/>
  <c r="H18" i="113"/>
  <c r="H15" i="113"/>
  <c r="H13" i="113"/>
  <c r="H12" i="113"/>
  <c r="H11" i="113"/>
  <c r="H10" i="113"/>
  <c r="H7" i="113"/>
  <c r="H6" i="113"/>
  <c r="H155" i="113" s="1"/>
  <c r="E157" i="112"/>
  <c r="E155" i="112"/>
  <c r="D155" i="112"/>
  <c r="D157" i="112" s="1"/>
  <c r="H154" i="112"/>
  <c r="H153" i="112"/>
  <c r="H152" i="112"/>
  <c r="H150" i="112"/>
  <c r="H149" i="112"/>
  <c r="H147" i="112"/>
  <c r="H146" i="112"/>
  <c r="H145" i="112"/>
  <c r="H143" i="112"/>
  <c r="H142" i="112"/>
  <c r="H141" i="112"/>
  <c r="H139" i="112"/>
  <c r="H137" i="112"/>
  <c r="H136" i="112"/>
  <c r="H135" i="112"/>
  <c r="H133" i="112"/>
  <c r="H132" i="112"/>
  <c r="H131" i="112"/>
  <c r="H130" i="112"/>
  <c r="H128" i="112"/>
  <c r="H127" i="112"/>
  <c r="H126" i="112"/>
  <c r="H125" i="112"/>
  <c r="H123" i="112"/>
  <c r="H122" i="112"/>
  <c r="H121" i="112"/>
  <c r="H120" i="112"/>
  <c r="H119" i="112"/>
  <c r="H118" i="112"/>
  <c r="H116" i="112"/>
  <c r="H115" i="112"/>
  <c r="H114" i="112"/>
  <c r="H113" i="112"/>
  <c r="H111" i="112"/>
  <c r="H109" i="112"/>
  <c r="H107" i="112"/>
  <c r="H106" i="112"/>
  <c r="H105" i="112"/>
  <c r="H104" i="112"/>
  <c r="H103" i="112"/>
  <c r="H102" i="112"/>
  <c r="H101" i="112"/>
  <c r="H100" i="112"/>
  <c r="H99" i="112"/>
  <c r="H98" i="112"/>
  <c r="H97" i="112"/>
  <c r="H96" i="112"/>
  <c r="H95" i="112"/>
  <c r="H94" i="112"/>
  <c r="H93" i="112"/>
  <c r="H92" i="112"/>
  <c r="H91" i="112"/>
  <c r="H90" i="112"/>
  <c r="H89" i="112"/>
  <c r="H88" i="112"/>
  <c r="H87" i="112"/>
  <c r="H86" i="112"/>
  <c r="H85" i="112"/>
  <c r="H81" i="112"/>
  <c r="H79" i="112"/>
  <c r="H76" i="112"/>
  <c r="H74" i="112"/>
  <c r="H72" i="112"/>
  <c r="H69" i="112"/>
  <c r="H68" i="112"/>
  <c r="H66" i="112"/>
  <c r="H63" i="112"/>
  <c r="H62" i="112"/>
  <c r="H60" i="112"/>
  <c r="H59" i="112"/>
  <c r="H57" i="112"/>
  <c r="H56" i="112"/>
  <c r="H55" i="112"/>
  <c r="H53" i="112"/>
  <c r="H52" i="112"/>
  <c r="H51" i="112"/>
  <c r="H50" i="112"/>
  <c r="H49" i="112"/>
  <c r="H48" i="112"/>
  <c r="H47" i="112"/>
  <c r="H46" i="112"/>
  <c r="H45" i="112"/>
  <c r="H44" i="112"/>
  <c r="H43" i="112"/>
  <c r="H42" i="112"/>
  <c r="H41" i="112"/>
  <c r="H40" i="112"/>
  <c r="H39" i="112"/>
  <c r="H38" i="112"/>
  <c r="H37" i="112"/>
  <c r="H35" i="112"/>
  <c r="H34" i="112"/>
  <c r="H33" i="112"/>
  <c r="H32" i="112"/>
  <c r="H30" i="112"/>
  <c r="H29" i="112"/>
  <c r="H28" i="112"/>
  <c r="H27" i="112"/>
  <c r="H26" i="112"/>
  <c r="H25" i="112"/>
  <c r="H24" i="112"/>
  <c r="H23" i="112"/>
  <c r="H22" i="112"/>
  <c r="H21" i="112"/>
  <c r="H20" i="112"/>
  <c r="H19" i="112"/>
  <c r="H18" i="112"/>
  <c r="H15" i="112"/>
  <c r="H13" i="112"/>
  <c r="H12" i="112"/>
  <c r="H11" i="112"/>
  <c r="H10" i="112"/>
  <c r="H7" i="112"/>
  <c r="H155" i="112" s="1"/>
  <c r="H6" i="112"/>
  <c r="E157" i="111"/>
  <c r="E155" i="111"/>
  <c r="D155" i="111"/>
  <c r="D157" i="111" s="1"/>
  <c r="H154" i="111"/>
  <c r="H153" i="111"/>
  <c r="H152" i="111"/>
  <c r="H150" i="111"/>
  <c r="H149" i="111"/>
  <c r="H147" i="111"/>
  <c r="H146" i="111"/>
  <c r="H145" i="111"/>
  <c r="H143" i="111"/>
  <c r="H142" i="111"/>
  <c r="H141" i="111"/>
  <c r="H139" i="111"/>
  <c r="H137" i="111"/>
  <c r="H136" i="111"/>
  <c r="H135" i="111"/>
  <c r="H133" i="111"/>
  <c r="H132" i="111"/>
  <c r="H131" i="111"/>
  <c r="H130" i="111"/>
  <c r="H128" i="111"/>
  <c r="H127" i="111"/>
  <c r="H126" i="111"/>
  <c r="H125" i="111"/>
  <c r="H123" i="111"/>
  <c r="H122" i="111"/>
  <c r="H121" i="111"/>
  <c r="H120" i="111"/>
  <c r="H119" i="111"/>
  <c r="H118" i="111"/>
  <c r="H116" i="111"/>
  <c r="H115" i="111"/>
  <c r="H114" i="111"/>
  <c r="H113" i="111"/>
  <c r="H111" i="111"/>
  <c r="H109" i="111"/>
  <c r="H107" i="111"/>
  <c r="H106" i="111"/>
  <c r="H105" i="111"/>
  <c r="H104" i="111"/>
  <c r="H103" i="111"/>
  <c r="H102" i="111"/>
  <c r="H101" i="111"/>
  <c r="H100" i="111"/>
  <c r="H99" i="111"/>
  <c r="H98" i="111"/>
  <c r="H97" i="111"/>
  <c r="H96" i="111"/>
  <c r="H95" i="111"/>
  <c r="H94" i="111"/>
  <c r="H93" i="111"/>
  <c r="H92" i="111"/>
  <c r="H91" i="111"/>
  <c r="H90" i="111"/>
  <c r="H89" i="111"/>
  <c r="H88" i="111"/>
  <c r="H87" i="111"/>
  <c r="H86" i="111"/>
  <c r="H85" i="111"/>
  <c r="H81" i="111"/>
  <c r="H79" i="111"/>
  <c r="H76" i="111"/>
  <c r="H74" i="111"/>
  <c r="H72" i="111"/>
  <c r="H69" i="111"/>
  <c r="H68" i="111"/>
  <c r="H66" i="111"/>
  <c r="H63" i="111"/>
  <c r="H62" i="111"/>
  <c r="H60" i="111"/>
  <c r="H59" i="111"/>
  <c r="H57" i="111"/>
  <c r="H56" i="111"/>
  <c r="H55" i="111"/>
  <c r="H53" i="111"/>
  <c r="H52" i="111"/>
  <c r="H51" i="111"/>
  <c r="H50" i="111"/>
  <c r="H49" i="111"/>
  <c r="H48" i="111"/>
  <c r="H47" i="111"/>
  <c r="H46" i="111"/>
  <c r="H45" i="111"/>
  <c r="H44" i="111"/>
  <c r="H43" i="111"/>
  <c r="H42" i="111"/>
  <c r="H41" i="111"/>
  <c r="H40" i="111"/>
  <c r="H39" i="111"/>
  <c r="H38" i="111"/>
  <c r="H37" i="111"/>
  <c r="H35" i="111"/>
  <c r="H34" i="111"/>
  <c r="H33" i="111"/>
  <c r="H32" i="111"/>
  <c r="H30" i="111"/>
  <c r="H29" i="111"/>
  <c r="H28" i="111"/>
  <c r="H27" i="111"/>
  <c r="H26" i="111"/>
  <c r="H25" i="111"/>
  <c r="H24" i="111"/>
  <c r="H23" i="111"/>
  <c r="H22" i="111"/>
  <c r="H21" i="111"/>
  <c r="H20" i="111"/>
  <c r="H19" i="111"/>
  <c r="H18" i="111"/>
  <c r="H15" i="111"/>
  <c r="H13" i="111"/>
  <c r="H12" i="111"/>
  <c r="H11" i="111"/>
  <c r="H10" i="111"/>
  <c r="H7" i="111"/>
  <c r="H6" i="111"/>
  <c r="H155" i="111" s="1"/>
  <c r="E157" i="110"/>
  <c r="E155" i="110"/>
  <c r="D155" i="110"/>
  <c r="D157" i="110" s="1"/>
  <c r="H154" i="110"/>
  <c r="H153" i="110"/>
  <c r="H152" i="110"/>
  <c r="H150" i="110"/>
  <c r="H149" i="110"/>
  <c r="H147" i="110"/>
  <c r="H146" i="110"/>
  <c r="H145" i="110"/>
  <c r="H143" i="110"/>
  <c r="H142" i="110"/>
  <c r="H141" i="110"/>
  <c r="H139" i="110"/>
  <c r="H137" i="110"/>
  <c r="H136" i="110"/>
  <c r="H135" i="110"/>
  <c r="H133" i="110"/>
  <c r="H132" i="110"/>
  <c r="H131" i="110"/>
  <c r="H130" i="110"/>
  <c r="H128" i="110"/>
  <c r="H127" i="110"/>
  <c r="H126" i="110"/>
  <c r="H125" i="110"/>
  <c r="H123" i="110"/>
  <c r="H122" i="110"/>
  <c r="H121" i="110"/>
  <c r="H120" i="110"/>
  <c r="H119" i="110"/>
  <c r="H118" i="110"/>
  <c r="H116" i="110"/>
  <c r="H115" i="110"/>
  <c r="H114" i="110"/>
  <c r="H113" i="110"/>
  <c r="H111" i="110"/>
  <c r="H109" i="110"/>
  <c r="H107" i="110"/>
  <c r="H106" i="110"/>
  <c r="H105" i="110"/>
  <c r="H104" i="110"/>
  <c r="H103" i="110"/>
  <c r="H102" i="110"/>
  <c r="H101" i="110"/>
  <c r="H100" i="110"/>
  <c r="H99" i="110"/>
  <c r="H98" i="110"/>
  <c r="H97" i="110"/>
  <c r="H96" i="110"/>
  <c r="H95" i="110"/>
  <c r="H94" i="110"/>
  <c r="H93" i="110"/>
  <c r="H92" i="110"/>
  <c r="H91" i="110"/>
  <c r="H90" i="110"/>
  <c r="H89" i="110"/>
  <c r="H88" i="110"/>
  <c r="H87" i="110"/>
  <c r="H86" i="110"/>
  <c r="H85" i="110"/>
  <c r="H81" i="110"/>
  <c r="H79" i="110"/>
  <c r="H76" i="110"/>
  <c r="H74" i="110"/>
  <c r="H72" i="110"/>
  <c r="H69" i="110"/>
  <c r="H68" i="110"/>
  <c r="H66" i="110"/>
  <c r="H63" i="110"/>
  <c r="H62" i="110"/>
  <c r="H60" i="110"/>
  <c r="H59" i="110"/>
  <c r="H57" i="110"/>
  <c r="H56" i="110"/>
  <c r="H55" i="110"/>
  <c r="H53" i="110"/>
  <c r="H52" i="110"/>
  <c r="H51" i="110"/>
  <c r="H50" i="110"/>
  <c r="H49" i="110"/>
  <c r="H48" i="110"/>
  <c r="H47" i="110"/>
  <c r="H46" i="110"/>
  <c r="H45" i="110"/>
  <c r="H44" i="110"/>
  <c r="H43" i="110"/>
  <c r="H42" i="110"/>
  <c r="H41" i="110"/>
  <c r="H40" i="110"/>
  <c r="H39" i="110"/>
  <c r="H38" i="110"/>
  <c r="H37" i="110"/>
  <c r="H35" i="110"/>
  <c r="H34" i="110"/>
  <c r="H33" i="110"/>
  <c r="H32" i="110"/>
  <c r="H30" i="110"/>
  <c r="H29" i="110"/>
  <c r="H28" i="110"/>
  <c r="H27" i="110"/>
  <c r="H26" i="110"/>
  <c r="H25" i="110"/>
  <c r="H24" i="110"/>
  <c r="H23" i="110"/>
  <c r="H22" i="110"/>
  <c r="H21" i="110"/>
  <c r="H20" i="110"/>
  <c r="H19" i="110"/>
  <c r="H18" i="110"/>
  <c r="H15" i="110"/>
  <c r="H13" i="110"/>
  <c r="H12" i="110"/>
  <c r="H11" i="110"/>
  <c r="H10" i="110"/>
  <c r="H7" i="110"/>
  <c r="H6" i="110"/>
  <c r="H155" i="110" s="1"/>
  <c r="E157" i="109"/>
  <c r="E155" i="109"/>
  <c r="D155" i="109"/>
  <c r="D157" i="109" s="1"/>
  <c r="H154" i="109"/>
  <c r="H153" i="109"/>
  <c r="H152" i="109"/>
  <c r="H150" i="109"/>
  <c r="H149" i="109"/>
  <c r="H147" i="109"/>
  <c r="H146" i="109"/>
  <c r="H145" i="109"/>
  <c r="H143" i="109"/>
  <c r="H142" i="109"/>
  <c r="H141" i="109"/>
  <c r="H139" i="109"/>
  <c r="H137" i="109"/>
  <c r="H136" i="109"/>
  <c r="H135" i="109"/>
  <c r="H133" i="109"/>
  <c r="H132" i="109"/>
  <c r="H131" i="109"/>
  <c r="H130" i="109"/>
  <c r="H128" i="109"/>
  <c r="H127" i="109"/>
  <c r="H126" i="109"/>
  <c r="H125" i="109"/>
  <c r="H123" i="109"/>
  <c r="H122" i="109"/>
  <c r="H121" i="109"/>
  <c r="H120" i="109"/>
  <c r="H119" i="109"/>
  <c r="H118" i="109"/>
  <c r="H116" i="109"/>
  <c r="H115" i="109"/>
  <c r="H114" i="109"/>
  <c r="H113" i="109"/>
  <c r="H111" i="109"/>
  <c r="H109" i="109"/>
  <c r="H107" i="109"/>
  <c r="H106" i="109"/>
  <c r="H105" i="109"/>
  <c r="H104" i="109"/>
  <c r="H103" i="109"/>
  <c r="H102" i="109"/>
  <c r="H101" i="109"/>
  <c r="H100" i="109"/>
  <c r="H99" i="109"/>
  <c r="H98" i="109"/>
  <c r="H97" i="109"/>
  <c r="H96" i="109"/>
  <c r="H95" i="109"/>
  <c r="H94" i="109"/>
  <c r="H93" i="109"/>
  <c r="H92" i="109"/>
  <c r="H91" i="109"/>
  <c r="H90" i="109"/>
  <c r="H89" i="109"/>
  <c r="H88" i="109"/>
  <c r="H87" i="109"/>
  <c r="H86" i="109"/>
  <c r="H85" i="109"/>
  <c r="H81" i="109"/>
  <c r="H79" i="109"/>
  <c r="H76" i="109"/>
  <c r="H74" i="109"/>
  <c r="H72" i="109"/>
  <c r="H69" i="109"/>
  <c r="H68" i="109"/>
  <c r="H66" i="109"/>
  <c r="H63" i="109"/>
  <c r="H62" i="109"/>
  <c r="H60" i="109"/>
  <c r="H59" i="109"/>
  <c r="H57" i="109"/>
  <c r="H56" i="109"/>
  <c r="H55" i="109"/>
  <c r="H53" i="109"/>
  <c r="H52" i="109"/>
  <c r="H51" i="109"/>
  <c r="H50" i="109"/>
  <c r="H49" i="109"/>
  <c r="H48" i="109"/>
  <c r="H47" i="109"/>
  <c r="H46" i="109"/>
  <c r="H45" i="109"/>
  <c r="H44" i="109"/>
  <c r="H43" i="109"/>
  <c r="H42" i="109"/>
  <c r="H41" i="109"/>
  <c r="H40" i="109"/>
  <c r="H39" i="109"/>
  <c r="H38" i="109"/>
  <c r="H37" i="109"/>
  <c r="H35" i="109"/>
  <c r="H34" i="109"/>
  <c r="H33" i="109"/>
  <c r="H32" i="109"/>
  <c r="H30" i="109"/>
  <c r="H29" i="109"/>
  <c r="H28" i="109"/>
  <c r="H27" i="109"/>
  <c r="H26" i="109"/>
  <c r="H25" i="109"/>
  <c r="H24" i="109"/>
  <c r="H23" i="109"/>
  <c r="H22" i="109"/>
  <c r="H21" i="109"/>
  <c r="H20" i="109"/>
  <c r="H19" i="109"/>
  <c r="H18" i="109"/>
  <c r="H15" i="109"/>
  <c r="H13" i="109"/>
  <c r="H12" i="109"/>
  <c r="H11" i="109"/>
  <c r="H10" i="109"/>
  <c r="H7" i="109"/>
  <c r="H6" i="109"/>
  <c r="H155" i="109" s="1"/>
  <c r="E157" i="108"/>
  <c r="E155" i="108"/>
  <c r="D155" i="108"/>
  <c r="D157" i="108" s="1"/>
  <c r="H154" i="108"/>
  <c r="H153" i="108"/>
  <c r="H152" i="108"/>
  <c r="H150" i="108"/>
  <c r="H149" i="108"/>
  <c r="H147" i="108"/>
  <c r="H146" i="108"/>
  <c r="H145" i="108"/>
  <c r="H143" i="108"/>
  <c r="H142" i="108"/>
  <c r="H141" i="108"/>
  <c r="H139" i="108"/>
  <c r="H137" i="108"/>
  <c r="H136" i="108"/>
  <c r="H135" i="108"/>
  <c r="H133" i="108"/>
  <c r="H132" i="108"/>
  <c r="H131" i="108"/>
  <c r="H130" i="108"/>
  <c r="H128" i="108"/>
  <c r="H127" i="108"/>
  <c r="H126" i="108"/>
  <c r="H125" i="108"/>
  <c r="H123" i="108"/>
  <c r="H122" i="108"/>
  <c r="H121" i="108"/>
  <c r="H120" i="108"/>
  <c r="H119" i="108"/>
  <c r="H118" i="108"/>
  <c r="H116" i="108"/>
  <c r="H115" i="108"/>
  <c r="H114" i="108"/>
  <c r="H113" i="108"/>
  <c r="H111" i="108"/>
  <c r="H109" i="108"/>
  <c r="H107" i="108"/>
  <c r="H106" i="108"/>
  <c r="H105" i="108"/>
  <c r="H104" i="108"/>
  <c r="H103" i="108"/>
  <c r="H102" i="108"/>
  <c r="H101" i="108"/>
  <c r="H100" i="108"/>
  <c r="H99" i="108"/>
  <c r="H98" i="108"/>
  <c r="H97" i="108"/>
  <c r="H96" i="108"/>
  <c r="H95" i="108"/>
  <c r="H94" i="108"/>
  <c r="H93" i="108"/>
  <c r="H92" i="108"/>
  <c r="H91" i="108"/>
  <c r="H90" i="108"/>
  <c r="H89" i="108"/>
  <c r="H88" i="108"/>
  <c r="H87" i="108"/>
  <c r="H86" i="108"/>
  <c r="H85" i="108"/>
  <c r="H81" i="108"/>
  <c r="H79" i="108"/>
  <c r="H76" i="108"/>
  <c r="H74" i="108"/>
  <c r="H72" i="108"/>
  <c r="H69" i="108"/>
  <c r="H68" i="108"/>
  <c r="H66" i="108"/>
  <c r="H63" i="108"/>
  <c r="H62" i="108"/>
  <c r="H60" i="108"/>
  <c r="H59" i="108"/>
  <c r="H57" i="108"/>
  <c r="H56" i="108"/>
  <c r="H55" i="108"/>
  <c r="H53" i="108"/>
  <c r="H52" i="108"/>
  <c r="H51" i="108"/>
  <c r="H50" i="108"/>
  <c r="H49" i="108"/>
  <c r="H48" i="108"/>
  <c r="H47" i="108"/>
  <c r="H46" i="108"/>
  <c r="H45" i="108"/>
  <c r="H44" i="108"/>
  <c r="H43" i="108"/>
  <c r="H42" i="108"/>
  <c r="H41" i="108"/>
  <c r="H40" i="108"/>
  <c r="H39" i="108"/>
  <c r="H38" i="108"/>
  <c r="H37" i="108"/>
  <c r="H35" i="108"/>
  <c r="H34" i="108"/>
  <c r="H33" i="108"/>
  <c r="H32" i="108"/>
  <c r="H30" i="108"/>
  <c r="H29" i="108"/>
  <c r="H28" i="108"/>
  <c r="H27" i="108"/>
  <c r="H26" i="108"/>
  <c r="H25" i="108"/>
  <c r="H24" i="108"/>
  <c r="H23" i="108"/>
  <c r="H22" i="108"/>
  <c r="H21" i="108"/>
  <c r="H20" i="108"/>
  <c r="H19" i="108"/>
  <c r="H18" i="108"/>
  <c r="H15" i="108"/>
  <c r="H13" i="108"/>
  <c r="H12" i="108"/>
  <c r="H11" i="108"/>
  <c r="H10" i="108"/>
  <c r="H7" i="108"/>
  <c r="H6" i="108"/>
  <c r="H155" i="108" s="1"/>
  <c r="E157" i="107"/>
  <c r="E155" i="107"/>
  <c r="D155" i="107"/>
  <c r="D157" i="107" s="1"/>
  <c r="H154" i="107"/>
  <c r="H153" i="107"/>
  <c r="H152" i="107"/>
  <c r="H150" i="107"/>
  <c r="H149" i="107"/>
  <c r="H147" i="107"/>
  <c r="H146" i="107"/>
  <c r="H145" i="107"/>
  <c r="H143" i="107"/>
  <c r="H142" i="107"/>
  <c r="H141" i="107"/>
  <c r="H139" i="107"/>
  <c r="H137" i="107"/>
  <c r="H136" i="107"/>
  <c r="H135" i="107"/>
  <c r="H133" i="107"/>
  <c r="H132" i="107"/>
  <c r="H131" i="107"/>
  <c r="H130" i="107"/>
  <c r="H128" i="107"/>
  <c r="H127" i="107"/>
  <c r="H126" i="107"/>
  <c r="H125" i="107"/>
  <c r="H123" i="107"/>
  <c r="H122" i="107"/>
  <c r="H121" i="107"/>
  <c r="H120" i="107"/>
  <c r="H119" i="107"/>
  <c r="H118" i="107"/>
  <c r="H116" i="107"/>
  <c r="H115" i="107"/>
  <c r="H114" i="107"/>
  <c r="H113" i="107"/>
  <c r="H111" i="107"/>
  <c r="H109" i="107"/>
  <c r="H107" i="107"/>
  <c r="H106" i="107"/>
  <c r="H105" i="107"/>
  <c r="H104" i="107"/>
  <c r="H103" i="107"/>
  <c r="H102" i="107"/>
  <c r="H101" i="107"/>
  <c r="H100" i="107"/>
  <c r="H99" i="107"/>
  <c r="H98" i="107"/>
  <c r="H97" i="107"/>
  <c r="H96" i="107"/>
  <c r="H95" i="107"/>
  <c r="H94" i="107"/>
  <c r="H93" i="107"/>
  <c r="H92" i="107"/>
  <c r="H91" i="107"/>
  <c r="H90" i="107"/>
  <c r="H89" i="107"/>
  <c r="H88" i="107"/>
  <c r="H87" i="107"/>
  <c r="H86" i="107"/>
  <c r="H85" i="107"/>
  <c r="H81" i="107"/>
  <c r="H79" i="107"/>
  <c r="H76" i="107"/>
  <c r="H74" i="107"/>
  <c r="H72" i="107"/>
  <c r="H69" i="107"/>
  <c r="H68" i="107"/>
  <c r="H66" i="107"/>
  <c r="H63" i="107"/>
  <c r="H62" i="107"/>
  <c r="H60" i="107"/>
  <c r="H59" i="107"/>
  <c r="H57" i="107"/>
  <c r="H56" i="107"/>
  <c r="H55" i="107"/>
  <c r="H53" i="107"/>
  <c r="H52" i="107"/>
  <c r="H51" i="107"/>
  <c r="H50" i="107"/>
  <c r="H49" i="107"/>
  <c r="H48" i="107"/>
  <c r="H47" i="107"/>
  <c r="H46" i="107"/>
  <c r="H45" i="107"/>
  <c r="H44" i="107"/>
  <c r="H43" i="107"/>
  <c r="H42" i="107"/>
  <c r="H41" i="107"/>
  <c r="H40" i="107"/>
  <c r="H39" i="107"/>
  <c r="H38" i="107"/>
  <c r="H37" i="107"/>
  <c r="H35" i="107"/>
  <c r="H34" i="107"/>
  <c r="H33" i="107"/>
  <c r="H32" i="107"/>
  <c r="H30" i="107"/>
  <c r="H29" i="107"/>
  <c r="H28" i="107"/>
  <c r="H27" i="107"/>
  <c r="H26" i="107"/>
  <c r="H25" i="107"/>
  <c r="H24" i="107"/>
  <c r="H23" i="107"/>
  <c r="H22" i="107"/>
  <c r="H21" i="107"/>
  <c r="H20" i="107"/>
  <c r="H19" i="107"/>
  <c r="H18" i="107"/>
  <c r="H15" i="107"/>
  <c r="H13" i="107"/>
  <c r="H12" i="107"/>
  <c r="H11" i="107"/>
  <c r="H10" i="107"/>
  <c r="H7" i="107"/>
  <c r="H6" i="107"/>
  <c r="H155" i="107" s="1"/>
  <c r="H155" i="103"/>
  <c r="H154" i="103"/>
  <c r="H153" i="103"/>
  <c r="H151" i="103"/>
  <c r="H150" i="103"/>
  <c r="H148" i="103"/>
  <c r="H147" i="103"/>
  <c r="H146" i="103"/>
  <c r="H144" i="103"/>
  <c r="H143" i="103"/>
  <c r="H142" i="103"/>
  <c r="H139" i="103"/>
  <c r="H137" i="103"/>
  <c r="H136" i="103"/>
  <c r="H135" i="103"/>
  <c r="H133" i="103"/>
  <c r="H132" i="103"/>
  <c r="H131" i="103"/>
  <c r="H130" i="103"/>
  <c r="H128" i="103"/>
  <c r="H127" i="103"/>
  <c r="H126" i="103"/>
  <c r="H125" i="103"/>
  <c r="H123" i="103"/>
  <c r="H122" i="103"/>
  <c r="H121" i="103"/>
  <c r="H119" i="103"/>
  <c r="H118" i="103"/>
  <c r="H116" i="103"/>
  <c r="H115" i="103"/>
  <c r="H114" i="103"/>
  <c r="H113" i="103"/>
  <c r="H111" i="103"/>
  <c r="H109" i="103"/>
  <c r="H107" i="103"/>
  <c r="H106" i="103"/>
  <c r="H105" i="103"/>
  <c r="H104" i="103"/>
  <c r="H103" i="103"/>
  <c r="H102" i="103"/>
  <c r="H101" i="103"/>
  <c r="H100" i="103"/>
  <c r="H99" i="103"/>
  <c r="H98" i="103"/>
  <c r="H97" i="103"/>
  <c r="H96" i="103"/>
  <c r="H95" i="103"/>
  <c r="H94" i="103"/>
  <c r="H93" i="103"/>
  <c r="H92" i="103"/>
  <c r="H91" i="103"/>
  <c r="H90" i="103"/>
  <c r="H89" i="103"/>
  <c r="H88" i="103"/>
  <c r="H87" i="103"/>
  <c r="H86" i="103"/>
  <c r="H85" i="103"/>
  <c r="H81" i="103"/>
  <c r="H79" i="103"/>
  <c r="H76" i="103"/>
  <c r="H74" i="103"/>
  <c r="H72" i="103"/>
  <c r="H69" i="103"/>
  <c r="H68" i="103"/>
  <c r="H66" i="103"/>
  <c r="H63" i="103"/>
  <c r="H62" i="103"/>
  <c r="H60" i="103"/>
  <c r="H59" i="103"/>
  <c r="H57" i="103"/>
  <c r="H56" i="103"/>
  <c r="H55" i="103"/>
  <c r="H53" i="103"/>
  <c r="H52" i="103"/>
  <c r="H51" i="103"/>
  <c r="H50" i="103"/>
  <c r="H49" i="103"/>
  <c r="H48" i="103"/>
  <c r="H47" i="103"/>
  <c r="H46" i="103"/>
  <c r="H45" i="103"/>
  <c r="H44" i="103"/>
  <c r="H43" i="103"/>
  <c r="H42" i="103"/>
  <c r="H41" i="103"/>
  <c r="H40" i="103"/>
  <c r="H39" i="103"/>
  <c r="H38" i="103"/>
  <c r="H37" i="103"/>
  <c r="H35" i="103"/>
  <c r="H34" i="103"/>
  <c r="H33" i="103"/>
  <c r="H32" i="103"/>
  <c r="H30" i="103"/>
  <c r="H29" i="103"/>
  <c r="H28" i="103"/>
  <c r="H27" i="103"/>
  <c r="H26" i="103"/>
  <c r="H25" i="103"/>
  <c r="H24" i="103"/>
  <c r="H23" i="103"/>
  <c r="H22" i="103"/>
  <c r="H21" i="103"/>
  <c r="H20" i="103"/>
  <c r="H19" i="103"/>
  <c r="H18" i="103"/>
  <c r="H15" i="103"/>
  <c r="H13" i="103"/>
  <c r="H12" i="103"/>
  <c r="H11" i="103"/>
  <c r="H10" i="103"/>
  <c r="H7" i="103"/>
  <c r="H6" i="103"/>
  <c r="D160" i="117" l="1"/>
  <c r="H158" i="117"/>
  <c r="D160" i="116"/>
  <c r="H158" i="116"/>
  <c r="H158" i="115"/>
  <c r="D160" i="115"/>
  <c r="D160" i="103"/>
  <c r="H158" i="10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91370CA2-89A7-45BF-A3B8-C9CDDAD2E7EC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6555E50B-5D9B-4515-806A-0744C599D298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60AFE1B1-9337-44AF-853B-3F08A9148AD6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6E8919A9-CCB7-418A-95EC-9A74F7273CF9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3B206BBE-D88F-44FB-BEF3-BFD63F2B0668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D8EBC5F6-E27F-49A2-92D8-8958347D1918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D61982D7-9851-41D7-8BAE-CAECC0CBD8EA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24665371-A6FC-40FC-94D1-A2D64D9C6F4D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B2C82D59-22E8-455B-83B4-97C93ACF7328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AD20C7AC-F977-4B54-826E-E18DD49DFDA4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2EA191A4-E079-4ED2-A9D7-079FA1CFB630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</author>
  </authors>
  <commentList>
    <comment ref="E137" authorId="0" shapeId="0" xr:uid="{FA483C44-1586-4601-8A7C-BE63982B2202}">
      <text>
        <r>
          <rPr>
            <b/>
            <sz val="10"/>
            <color indexed="81"/>
            <rFont val="Tahoma"/>
            <family val="2"/>
          </rPr>
          <t xml:space="preserve">จันส่งตัวเลขให้ขลุง
</t>
        </r>
      </text>
    </comment>
  </commentList>
</comments>
</file>

<file path=xl/sharedStrings.xml><?xml version="1.0" encoding="utf-8"?>
<sst xmlns="http://schemas.openxmlformats.org/spreadsheetml/2006/main" count="3760" uniqueCount="189">
  <si>
    <r>
      <t>รายงานปริมาณน้ำรับ</t>
    </r>
    <r>
      <rPr>
        <b/>
        <sz val="22"/>
        <rFont val="Cordia New"/>
        <family val="2"/>
        <charset val="222"/>
      </rPr>
      <t>-</t>
    </r>
    <r>
      <rPr>
        <b/>
        <sz val="22"/>
        <rFont val="Cordia New"/>
        <family val="2"/>
      </rPr>
      <t>น้ำส่ง ระหว่าง กปภ. สาขาในสังกัด กปภ.ข</t>
    </r>
    <r>
      <rPr>
        <b/>
        <sz val="22"/>
        <rFont val="Cordia New"/>
        <family val="2"/>
        <charset val="222"/>
      </rPr>
      <t>.1</t>
    </r>
  </si>
  <si>
    <t>สำนักงานประปา</t>
  </si>
  <si>
    <r>
      <t>การรับน้ำ</t>
    </r>
    <r>
      <rPr>
        <b/>
        <sz val="14"/>
        <rFont val="Cordia New"/>
        <family val="2"/>
        <charset val="222"/>
      </rPr>
      <t>-</t>
    </r>
    <r>
      <rPr>
        <b/>
        <sz val="14"/>
        <rFont val="Cordia New"/>
        <family val="2"/>
      </rPr>
      <t>ส่งน้ำ</t>
    </r>
  </si>
  <si>
    <t>ปริมาณน้ำรับ</t>
  </si>
  <si>
    <t>ปริมาณน้ำส่ง</t>
  </si>
  <si>
    <r>
      <t xml:space="preserve">แม่ข่าย </t>
    </r>
    <r>
      <rPr>
        <b/>
        <sz val="14"/>
        <rFont val="Cordia New"/>
        <family val="2"/>
        <charset val="222"/>
      </rPr>
      <t>(</t>
    </r>
    <r>
      <rPr>
        <b/>
        <sz val="14"/>
        <rFont val="Cordia New"/>
        <family val="2"/>
      </rPr>
      <t>ม</t>
    </r>
    <r>
      <rPr>
        <b/>
        <sz val="14"/>
        <rFont val="Cordia New"/>
        <family val="2"/>
        <charset val="222"/>
      </rPr>
      <t xml:space="preserve">.) - </t>
    </r>
    <r>
      <rPr>
        <b/>
        <sz val="14"/>
        <rFont val="Cordia New"/>
        <family val="2"/>
      </rPr>
      <t xml:space="preserve">หน่วยบริการ </t>
    </r>
    <r>
      <rPr>
        <b/>
        <sz val="14"/>
        <rFont val="Cordia New"/>
        <family val="2"/>
        <charset val="222"/>
      </rPr>
      <t>(</t>
    </r>
    <r>
      <rPr>
        <b/>
        <sz val="14"/>
        <rFont val="Cordia New"/>
        <family val="2"/>
      </rPr>
      <t>น</t>
    </r>
    <r>
      <rPr>
        <b/>
        <sz val="14"/>
        <rFont val="Cordia New"/>
        <family val="2"/>
        <charset val="222"/>
      </rPr>
      <t>.)</t>
    </r>
  </si>
  <si>
    <r>
      <t>(</t>
    </r>
    <r>
      <rPr>
        <b/>
        <sz val="14"/>
        <rFont val="Cordia New"/>
        <family val="2"/>
      </rPr>
      <t>ลบ</t>
    </r>
    <r>
      <rPr>
        <b/>
        <sz val="14"/>
        <rFont val="Cordia New"/>
        <family val="2"/>
        <charset val="222"/>
      </rPr>
      <t>.</t>
    </r>
    <r>
      <rPr>
        <b/>
        <sz val="14"/>
        <rFont val="Cordia New"/>
        <family val="2"/>
      </rPr>
      <t>ม</t>
    </r>
    <r>
      <rPr>
        <b/>
        <sz val="14"/>
        <rFont val="Cordia New"/>
        <family val="2"/>
        <charset val="222"/>
      </rPr>
      <t>.)</t>
    </r>
  </si>
  <si>
    <t>ผลต่าง</t>
  </si>
  <si>
    <t>1. กปภ.สาขาชลบุรี(พ)</t>
  </si>
  <si>
    <t>ม.ชลบุรี</t>
  </si>
  <si>
    <t>ส่งน้ำให้ กปภ. สาขาศรีราชา</t>
  </si>
  <si>
    <t>รับน้ำจาก กปภ. สาขาศรีราชา</t>
  </si>
  <si>
    <t>ส่งน้ำให้ กปภ. สาขาบางปะกง</t>
  </si>
  <si>
    <t>ส่งน้ำให้ น.พานทอง กปภ. สาขาพนัสนิคม</t>
  </si>
  <si>
    <t>รับน้ำจาก น.พานทอง กปภ. สาขาพนัสนิคม</t>
  </si>
  <si>
    <t>รับน้ำจาก กปภ. สาขาบ้านบึง</t>
  </si>
  <si>
    <t>ส่งน้ำให้ น.เทพราช กปภ. สาขาบางคล้า</t>
  </si>
  <si>
    <t>รับน้ำจาก น.เทพราช กปภ. สาขาบางคล้า</t>
  </si>
  <si>
    <t>ซื้อน้ำจาก UU</t>
  </si>
  <si>
    <t>2. กปภ. สาขาบ้านบึง</t>
  </si>
  <si>
    <t>ม.บ้านบึง</t>
  </si>
  <si>
    <t>ซื้อน้ำจากบริษัท อินดัสเตรียล วอเตอร์ รีสอร์ส</t>
  </si>
  <si>
    <t>ส่งน้ำให้ กปภ.สาขาชลบุรี(พ)</t>
  </si>
  <si>
    <t>ส่งน้ำให้ น.พานทอง สาขาพนัสนิคม</t>
  </si>
  <si>
    <t>ส่งน้ำให้ ม.พนัสนิคม</t>
  </si>
  <si>
    <t>ส่งให้ น.หนองไผ่แก้ว</t>
  </si>
  <si>
    <t>ส่งให้ น.หนองใหญ่</t>
  </si>
  <si>
    <t>รับน้ำจาก น.พานทอง สาขาพนัสนิคม</t>
  </si>
  <si>
    <t>ส่งน้ำให้ ม.ศรีราชา</t>
  </si>
  <si>
    <t>น.หนองไผ่แก้ว</t>
  </si>
  <si>
    <t>รับน้ำจาก ม.บ้านบึง</t>
  </si>
  <si>
    <t>น.หนองใหญ่</t>
  </si>
  <si>
    <t>3. กปภ. สาขาพนัสนิคม</t>
  </si>
  <si>
    <t>ม.พนัสนิคม</t>
  </si>
  <si>
    <t>ส่งน้ำให้ น.พานทอง</t>
  </si>
  <si>
    <t>ส่งน้ำให้ น.บ่อทอง</t>
  </si>
  <si>
    <t>น.ท่าบุญมี</t>
  </si>
  <si>
    <t>น.พานทอง</t>
  </si>
  <si>
    <t>รับน้ำจาก ม.ชลบุรี</t>
  </si>
  <si>
    <t>ส่งน้ำให้ ม.ชลบุรี</t>
  </si>
  <si>
    <t>ส่งน้ำให้ ม.บ้านบึง</t>
  </si>
  <si>
    <t>ส่งน้ำให้ น.เทพราช บางคล้า</t>
  </si>
  <si>
    <t>รับน้ำจาก ม.พนัสนิคม</t>
  </si>
  <si>
    <t>รับน้ำจาก น.พานทอง</t>
  </si>
  <si>
    <t>ส่งน้ำให้ น.ท่าบุญมี</t>
  </si>
  <si>
    <t>น.บ่อทอง</t>
  </si>
  <si>
    <t>รับน้ำจาก น.ท่าบุญมี</t>
  </si>
  <si>
    <t>4. กปภ. สาขาศรีราชา</t>
  </si>
  <si>
    <t>ม.ศรีราชา</t>
  </si>
  <si>
    <t>ส่งน้ำให้ กปภ. สาขาแหลมฉบัง (เขาตะพง)</t>
  </si>
  <si>
    <t>รับน้ำจาก กปภ.สาขาชลบุรี(พ)</t>
  </si>
  <si>
    <t>ส่งน้ำให้ กปภ. สาขาชลบุรี</t>
  </si>
  <si>
    <t>รับน้ำจาก กปภ. สาขาแหลมฉบัง</t>
  </si>
  <si>
    <t>5. กปภ. สาขาแหลมฉบัง</t>
  </si>
  <si>
    <t>ม.แหลมฉบัง</t>
  </si>
  <si>
    <t>รับน้ำจาก กปภ.สาขาพัทยา(พ)</t>
  </si>
  <si>
    <t>6. กปภ.สาขาพัทยา(พ)</t>
  </si>
  <si>
    <t>ม.พัทยา</t>
  </si>
  <si>
    <t>ส่งน้ำให้ กปภ. สาขาแหลมฉบัง</t>
  </si>
  <si>
    <t>ซื้อน้ำจาก ป.สัตหีบ</t>
  </si>
  <si>
    <t>ม.พัทยา ซื้อน้ำดิบจาก กปภ.สาขาชลบุรี 0 ลบ.ม.</t>
  </si>
  <si>
    <t>7. กปภ. สาขาฉะเชิงเทรา</t>
  </si>
  <si>
    <t>ม.ฉะเชิงเทรา</t>
  </si>
  <si>
    <t>ส่งน้ำให้ น.คลองนา  กปภ. สาขาบางคล้า</t>
  </si>
  <si>
    <t>ส่งน้ำให้ น.เทพราช กปภ.สาขาบางคล้า</t>
  </si>
  <si>
    <t>ซื้อน้ำจาก บ.ประปาฉะเชิงเทรา</t>
  </si>
  <si>
    <t>ส่งน้ำให้ น.บางน้ำเปรี้ยว กปภ.สาขาบางคล้า</t>
  </si>
  <si>
    <t>8. กปภ. สาขาบางปะกง</t>
  </si>
  <si>
    <t>ม.บางปะกง</t>
  </si>
  <si>
    <t>รับน้ำจาก กปภ. สาขาฉะเชิงเทรา</t>
  </si>
  <si>
    <t>รับน้ำจาก กปภ.(พ) สาขาชลบุรี</t>
  </si>
  <si>
    <t>ส่งน้ำให้ น. เทพราช กปภ. สาขาบางคล้า</t>
  </si>
  <si>
    <t xml:space="preserve">ม.บางปะกง ซื้อน้ำดิบจาก กปภ. สาขาบางคล้า 0  ลบ.ม. </t>
  </si>
  <si>
    <t>9. กปภ. สาขาบางคล้า</t>
  </si>
  <si>
    <t>ม.บางคล้า</t>
  </si>
  <si>
    <t xml:space="preserve">ส่งน้ำให้ น.คลองนา </t>
  </si>
  <si>
    <t xml:space="preserve">ส่งน้ำให้ น.แปลงยาว </t>
  </si>
  <si>
    <t>รับน้ำจาก น.บางน้ำเปรี้ยว</t>
  </si>
  <si>
    <t>น.คลองนา</t>
  </si>
  <si>
    <t>รับน้ำจาก ม.บางคล้า</t>
  </si>
  <si>
    <t>น.เทพราช</t>
  </si>
  <si>
    <t>รับน้ำจาก กปภ.สาขาฉะเชิงเทรา</t>
  </si>
  <si>
    <t>รับน้ำจาก กปภ. สาขาบางปะกง</t>
  </si>
  <si>
    <t>รับน้ำจาก กปภ. สาขาชลบุรี</t>
  </si>
  <si>
    <t>ส่งน้ำให้ น.บางน้ำเปรี้ยว</t>
  </si>
  <si>
    <t>น.แปลงยาว</t>
  </si>
  <si>
    <t>รับน้ำจาก กปภ.สาขาพนมสารคาม</t>
  </si>
  <si>
    <t>น.บางน้ำเปรี้ยว</t>
  </si>
  <si>
    <t>รับน้ำจากม.ฉะเชิงเทรา</t>
  </si>
  <si>
    <t>รับน้ำจาก น.เทพราช</t>
  </si>
  <si>
    <t>ส่งน้ำให้ ม.บางคล้า</t>
  </si>
  <si>
    <t>10. กปภ. สาขาพนมสารคาม</t>
  </si>
  <si>
    <t>ม.พนมสารคาม</t>
  </si>
  <si>
    <t>รับน้ำจากม.ศรีมหาโพธิ กปภ.สาขาปราจีนบุรี</t>
  </si>
  <si>
    <t>ส่งน้ำให้ กปภ.บางคล้า</t>
  </si>
  <si>
    <t>11. กปภ. สาขาระยอง</t>
  </si>
  <si>
    <t>ม.ระยอง</t>
  </si>
  <si>
    <t>ส่งน้ำให้ กปภ. สาขาปากน้ำประแสร์</t>
  </si>
  <si>
    <t>รับน้ำจาก กปภ. สาขาปากน้ำประแสร์</t>
  </si>
  <si>
    <t>รับน้ำจาก กปภ. สาขาบ้านฉาง</t>
  </si>
  <si>
    <t>ส่งน้ำให้ กปภ. สาขาบ้านฉาง</t>
  </si>
  <si>
    <t>12. กปภ. สาขาบ้านฉาง</t>
  </si>
  <si>
    <t>ม.บ้านฉาง</t>
  </si>
  <si>
    <t>ส่งน้ำให้ กปภ. สาขาระยอง</t>
  </si>
  <si>
    <t>รับน้ำจาก กปภ. สาขาระยอง</t>
  </si>
  <si>
    <t>13. กปภ. สาขาปากน้ำประแสร์</t>
  </si>
  <si>
    <t>ม.ปากน้ำประแสร์</t>
  </si>
  <si>
    <t>ส่งน้ำให้ แม่ข่ายจันทบุรี</t>
  </si>
  <si>
    <t>14 กปภ. สาขาจันทบุรี</t>
  </si>
  <si>
    <t>ม.จันทบุรี</t>
  </si>
  <si>
    <t>รับน้ำจาก กปภ. สาขาขลุง</t>
  </si>
  <si>
    <t>ส่งน้ำให้ กปภ. สาขาขลุง</t>
  </si>
  <si>
    <t>15. กปภ. สาขาขลุง</t>
  </si>
  <si>
    <t>ม.ขลุง</t>
  </si>
  <si>
    <t>รับน้ำจาก จันทบุรี</t>
  </si>
  <si>
    <t>รับน้ำจาก เขาสมิง</t>
  </si>
  <si>
    <t>ส่งน้ำให้ กปภ. สาขาจันทบุรี</t>
  </si>
  <si>
    <t>16. กปภ. สาขาตราด</t>
  </si>
  <si>
    <t>น.เขาสมิง</t>
  </si>
  <si>
    <t>ส่งน้ำให้ ม.ขลุง</t>
  </si>
  <si>
    <t>17. กปภ. สาขาสระแก้ว</t>
  </si>
  <si>
    <t>ม.สระแก้ว</t>
  </si>
  <si>
    <t>ส่งน้ำให้ น.เขาฉกรรจ์</t>
  </si>
  <si>
    <t>รับน้ำจาก ม.วัฒนานคร</t>
  </si>
  <si>
    <t>น.เขาฉกรรจ์</t>
  </si>
  <si>
    <t>รับน้ำจาก ม.สระแก้ว</t>
  </si>
  <si>
    <t>18. กปภ. สาขาวัฒนานคร</t>
  </si>
  <si>
    <t>ม.วัฒนานคร</t>
  </si>
  <si>
    <t>ส่งน้ำจากม.ส่งน้ำให้ม.อรัญประเทศ</t>
  </si>
  <si>
    <t>ส่งน้ำจากม.ส่งน้ำให้ม.สระแก้ว</t>
  </si>
  <si>
    <t>รับน้ำจาก ม.อรัญประเทศ</t>
  </si>
  <si>
    <t>19. กปภ. สาขาอรัญประเทศ</t>
  </si>
  <si>
    <t>ม.อรัญประเทศ</t>
  </si>
  <si>
    <t>รับน้ำจากม.วัฒนานคร</t>
  </si>
  <si>
    <t>ส่งน้ำให้ ม.วัฒนานคร</t>
  </si>
  <si>
    <t>20. กปภ. สาขาปราจีนบุรี</t>
  </si>
  <si>
    <t>น.ประจันตคาม</t>
  </si>
  <si>
    <t>รับน้ำจาก น.ศรีมหาโพธิ์</t>
  </si>
  <si>
    <t>น.ศรีมหาโพธิ</t>
  </si>
  <si>
    <t>ส่งน้ำให้ ม.ประจันตคาม</t>
  </si>
  <si>
    <t>ส่งน้ำให้ ม.พนมสารคาม(เขาหินซ้อน)</t>
  </si>
  <si>
    <t>รวม</t>
  </si>
  <si>
    <t>ตรวจสอบผลต่างน้ำรับ-น้ำส่ง</t>
  </si>
  <si>
    <t>ปริมาณน้ำส่งต่างสาขา</t>
  </si>
  <si>
    <t>ส่งน้ำให้ น.คลองนา</t>
  </si>
  <si>
    <t>รับน้ำจาก น.แปลงยาว</t>
  </si>
  <si>
    <t>ส่งน้ำให้ น.เทพราช</t>
  </si>
  <si>
    <t xml:space="preserve">	น.เทพราช</t>
  </si>
  <si>
    <t>รับน้ำจาก น.คลองนา</t>
  </si>
  <si>
    <t>รับน้ำจาก แม่ข่ายจันทบุรี</t>
  </si>
  <si>
    <t>ส่งน้ำให้  กปภ. สาขาปากน้ำประแสร์</t>
  </si>
  <si>
    <t>ส่งน้ำให้ กปภ. สาขาพัทยา</t>
  </si>
  <si>
    <t>***เพิ่มใหม่เดือน พย.66</t>
  </si>
  <si>
    <t>รับน้ำจาก กปภ. สาขาพัทยา</t>
  </si>
  <si>
    <t>น.ปลวกแดง</t>
  </si>
  <si>
    <t>ส่งน้ำให้ น.ปลวกแดง กปภ. สาขาบ้านฉาง</t>
  </si>
  <si>
    <t>***เพิ่มใหม่เดือน มค.67</t>
  </si>
  <si>
    <t>ส่งน้ำให้ ม.บ้านฉาง</t>
  </si>
  <si>
    <t>รับน้ำจาก น.ปลวกแดง</t>
  </si>
  <si>
    <t xml:space="preserve">         </t>
  </si>
  <si>
    <t>***เพิ่มใหม่เดือน ส.ค.67</t>
  </si>
  <si>
    <t>***เพิ่มใหม่เดือน พ.ย.67</t>
  </si>
  <si>
    <t>ม.ชลบุรี (ท่อขนาด 700 มม.)</t>
  </si>
  <si>
    <t>น.พานทอง (ท่อขนาด 700 มม.)</t>
  </si>
  <si>
    <t>น.พานทอง (ท่อขนาด 1000 มม.)</t>
  </si>
  <si>
    <t>ม.พนัสนิคม (ท่อขนาด 1000 มม.)</t>
  </si>
  <si>
    <t>ม.บ้านบึง (ท่อขนาด 1000 มม.)</t>
  </si>
  <si>
    <t>***เพิ่มใหม่เดือน เม.ย.68</t>
  </si>
  <si>
    <t>***เพิ่มใหม่เดือน มิย.68</t>
  </si>
  <si>
    <t>รับน้ำจาก ม.ศรีราชา</t>
  </si>
  <si>
    <t>***เพิ่มใหม่เดือน ก.ค.68</t>
  </si>
  <si>
    <t>ประจำเดือน พ.ย. 68</t>
  </si>
  <si>
    <t>ประจำเดือน ต.ค. 68</t>
  </si>
  <si>
    <t>ประจำเดือน ธ.ค. 68</t>
  </si>
  <si>
    <t>ประจำเดือน ม.ค. 69</t>
  </si>
  <si>
    <t>ประจำเดือน ก.พ. 69</t>
  </si>
  <si>
    <t>ประจำเดือน มี.ค. 69</t>
  </si>
  <si>
    <t>ประจำเดือน เม.ย. 69</t>
  </si>
  <si>
    <t>ประจำเดือน พ.ค. 69</t>
  </si>
  <si>
    <t>ประจำเดือน มิ.ย. 69</t>
  </si>
  <si>
    <t>ประจำเดือน ก.ค. 69</t>
  </si>
  <si>
    <t>ประจำเดือน ส.ค. 69</t>
  </si>
  <si>
    <t>ประจำเดือน ก.ย. 69</t>
  </si>
  <si>
    <t>ม.ตราด</t>
  </si>
  <si>
    <t>รับน้ำจาก ม.คลองใหญ่</t>
  </si>
  <si>
    <t>21. กปภ. สาขาคลองใหญ่</t>
  </si>
  <si>
    <t>ม.คลองใหญ่</t>
  </si>
  <si>
    <t>ส่งน้ำให้ ม.ตราด</t>
  </si>
  <si>
    <t>***เพิ่มใหม่เดือน พ.ย.68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</si>
</sst>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.00_-;\-* #,##0.00_-;_-* \-??_-;_-@_-"/>
    <numFmt numFmtId="188" formatCode="_-* #,##0_-;\-* #,##0_-;_-* \-??_-;_-@_-"/>
  </numFmts>
  <fonts count="18" x14ac:knownFonts="1">
    <font>
      <sz val="16"/>
      <color theme="1"/>
      <name val="TH SarabunPSK"/>
      <family val="2"/>
      <charset val="222"/>
    </font>
    <font>
      <sz val="14"/>
      <name val="Cordia New"/>
      <family val="2"/>
    </font>
    <font>
      <sz val="12"/>
      <name val="Arial"/>
      <family val="2"/>
    </font>
    <font>
      <b/>
      <sz val="16"/>
      <name val="Cordia New"/>
      <family val="2"/>
    </font>
    <font>
      <b/>
      <sz val="14"/>
      <name val="Cordia New"/>
      <family val="2"/>
    </font>
    <font>
      <sz val="12"/>
      <name val="Cordia New"/>
      <family val="2"/>
    </font>
    <font>
      <b/>
      <sz val="14"/>
      <name val="Cordia New"/>
      <family val="2"/>
      <charset val="222"/>
    </font>
    <font>
      <b/>
      <sz val="18"/>
      <name val="Cordia New"/>
      <family val="2"/>
    </font>
    <font>
      <b/>
      <sz val="22"/>
      <name val="Cordia New"/>
      <family val="2"/>
    </font>
    <font>
      <b/>
      <sz val="22"/>
      <name val="Cordia New"/>
      <family val="2"/>
      <charset val="222"/>
    </font>
    <font>
      <b/>
      <sz val="10"/>
      <color indexed="81"/>
      <name val="Tahoma"/>
      <family val="2"/>
    </font>
    <font>
      <sz val="14"/>
      <color rgb="FF6600FF"/>
      <name val="Cordia New"/>
      <family val="2"/>
    </font>
    <font>
      <sz val="14"/>
      <color rgb="FFFF0000"/>
      <name val="Cordia New"/>
      <family val="2"/>
    </font>
    <font>
      <sz val="14"/>
      <color rgb="FF0914F7"/>
      <name val="Cordia New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4"/>
      <name val="Cordia New"/>
      <family val="2"/>
      <charset val="222"/>
    </font>
    <font>
      <sz val="12"/>
      <name val="Arial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rgb="FFCCFFCC"/>
        <bgColor indexed="27"/>
      </patternFill>
    </fill>
    <fill>
      <patternFill patternType="solid">
        <fgColor rgb="FFFFFF9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87" fontId="1" fillId="0" borderId="0" applyFill="0" applyBorder="0" applyAlignment="0" applyProtection="0"/>
    <xf numFmtId="0" fontId="1" fillId="0" borderId="0"/>
    <xf numFmtId="187" fontId="1" fillId="0" borderId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43" fontId="1" fillId="0" borderId="0" xfId="2" applyNumberFormat="1" applyAlignment="1">
      <alignment horizontal="center"/>
    </xf>
    <xf numFmtId="187" fontId="1" fillId="0" borderId="0" xfId="2" applyNumberFormat="1" applyAlignment="1">
      <alignment horizontal="center"/>
    </xf>
    <xf numFmtId="187" fontId="2" fillId="3" borderId="5" xfId="1" applyFont="1" applyFill="1" applyBorder="1" applyAlignment="1" applyProtection="1">
      <alignment horizontal="center"/>
    </xf>
    <xf numFmtId="187" fontId="2" fillId="4" borderId="5" xfId="1" applyFont="1" applyFill="1" applyBorder="1" applyAlignment="1" applyProtection="1">
      <alignment horizontal="center"/>
    </xf>
    <xf numFmtId="0" fontId="1" fillId="0" borderId="5" xfId="2" applyBorder="1"/>
    <xf numFmtId="187" fontId="2" fillId="5" borderId="5" xfId="1" applyFont="1" applyFill="1" applyBorder="1" applyAlignment="1" applyProtection="1">
      <alignment horizontal="center"/>
    </xf>
    <xf numFmtId="187" fontId="2" fillId="4" borderId="10" xfId="1" applyFont="1" applyFill="1" applyBorder="1" applyAlignment="1" applyProtection="1">
      <alignment horizontal="center"/>
    </xf>
    <xf numFmtId="0" fontId="1" fillId="0" borderId="1" xfId="2" applyBorder="1"/>
    <xf numFmtId="187" fontId="2" fillId="7" borderId="5" xfId="1" applyFont="1" applyFill="1" applyBorder="1" applyAlignment="1" applyProtection="1">
      <alignment horizontal="center"/>
    </xf>
    <xf numFmtId="0" fontId="2" fillId="5" borderId="5" xfId="2" applyFont="1" applyFill="1" applyBorder="1" applyAlignment="1">
      <alignment horizontal="center"/>
    </xf>
    <xf numFmtId="0" fontId="2" fillId="3" borderId="5" xfId="2" applyFont="1" applyFill="1" applyBorder="1" applyAlignment="1">
      <alignment horizontal="center"/>
    </xf>
    <xf numFmtId="0" fontId="2" fillId="4" borderId="5" xfId="2" applyFont="1" applyFill="1" applyBorder="1" applyAlignment="1">
      <alignment horizontal="center"/>
    </xf>
    <xf numFmtId="0" fontId="1" fillId="0" borderId="21" xfId="2" applyBorder="1"/>
    <xf numFmtId="187" fontId="2" fillId="5" borderId="10" xfId="1" applyFont="1" applyFill="1" applyBorder="1" applyAlignment="1" applyProtection="1">
      <alignment horizontal="center"/>
    </xf>
    <xf numFmtId="0" fontId="1" fillId="0" borderId="10" xfId="2" applyBorder="1"/>
    <xf numFmtId="187" fontId="2" fillId="3" borderId="5" xfId="2" applyNumberFormat="1" applyFont="1" applyFill="1" applyBorder="1" applyAlignment="1">
      <alignment horizontal="center"/>
    </xf>
    <xf numFmtId="0" fontId="1" fillId="0" borderId="12" xfId="2" applyBorder="1"/>
    <xf numFmtId="0" fontId="1" fillId="0" borderId="20" xfId="2" applyBorder="1"/>
    <xf numFmtId="0" fontId="1" fillId="0" borderId="6" xfId="2" applyBorder="1"/>
    <xf numFmtId="0" fontId="1" fillId="0" borderId="23" xfId="2" applyBorder="1"/>
    <xf numFmtId="0" fontId="5" fillId="5" borderId="5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4" fillId="0" borderId="7" xfId="2" applyFont="1" applyBorder="1"/>
    <xf numFmtId="0" fontId="4" fillId="0" borderId="9" xfId="2" applyFont="1" applyBorder="1"/>
    <xf numFmtId="0" fontId="4" fillId="3" borderId="26" xfId="2" applyFont="1" applyFill="1" applyBorder="1" applyAlignment="1">
      <alignment horizontal="center"/>
    </xf>
    <xf numFmtId="0" fontId="4" fillId="4" borderId="26" xfId="2" applyFont="1" applyFill="1" applyBorder="1" applyAlignment="1">
      <alignment horizontal="center"/>
    </xf>
    <xf numFmtId="0" fontId="4" fillId="0" borderId="27" xfId="2" applyFont="1" applyBorder="1"/>
    <xf numFmtId="0" fontId="4" fillId="0" borderId="28" xfId="2" applyFont="1" applyBorder="1"/>
    <xf numFmtId="0" fontId="7" fillId="0" borderId="0" xfId="2" applyFont="1"/>
    <xf numFmtId="0" fontId="8" fillId="0" borderId="0" xfId="2" applyFont="1"/>
    <xf numFmtId="0" fontId="1" fillId="0" borderId="14" xfId="2" applyBorder="1"/>
    <xf numFmtId="0" fontId="11" fillId="0" borderId="0" xfId="2" applyFont="1" applyAlignment="1">
      <alignment horizontal="center"/>
    </xf>
    <xf numFmtId="0" fontId="12" fillId="0" borderId="0" xfId="2" applyFont="1"/>
    <xf numFmtId="0" fontId="13" fillId="0" borderId="5" xfId="2" applyFont="1" applyBorder="1"/>
    <xf numFmtId="0" fontId="13" fillId="0" borderId="0" xfId="2" applyFont="1"/>
    <xf numFmtId="0" fontId="1" fillId="0" borderId="24" xfId="2" applyBorder="1"/>
    <xf numFmtId="0" fontId="11" fillId="0" borderId="5" xfId="2" applyFont="1" applyBorder="1"/>
    <xf numFmtId="0" fontId="1" fillId="0" borderId="22" xfId="2" applyBorder="1"/>
    <xf numFmtId="0" fontId="1" fillId="5" borderId="19" xfId="2" applyFill="1" applyBorder="1"/>
    <xf numFmtId="0" fontId="1" fillId="5" borderId="18" xfId="2" applyFill="1" applyBorder="1"/>
    <xf numFmtId="0" fontId="1" fillId="0" borderId="36" xfId="2" applyBorder="1"/>
    <xf numFmtId="187" fontId="2" fillId="5" borderId="5" xfId="2" applyNumberFormat="1" applyFont="1" applyFill="1" applyBorder="1" applyAlignment="1">
      <alignment horizontal="center"/>
    </xf>
    <xf numFmtId="187" fontId="2" fillId="6" borderId="5" xfId="1" applyFont="1" applyFill="1" applyBorder="1" applyAlignment="1" applyProtection="1">
      <alignment horizontal="center"/>
    </xf>
    <xf numFmtId="187" fontId="1" fillId="5" borderId="18" xfId="2" applyNumberFormat="1" applyFill="1" applyBorder="1"/>
    <xf numFmtId="187" fontId="2" fillId="5" borderId="4" xfId="2" applyNumberFormat="1" applyFont="1" applyFill="1" applyBorder="1"/>
    <xf numFmtId="187" fontId="14" fillId="4" borderId="5" xfId="1" applyFont="1" applyFill="1" applyBorder="1" applyAlignment="1" applyProtection="1">
      <alignment horizontal="center"/>
    </xf>
    <xf numFmtId="187" fontId="14" fillId="3" borderId="5" xfId="1" applyFont="1" applyFill="1" applyBorder="1" applyAlignment="1" applyProtection="1">
      <alignment horizontal="center"/>
    </xf>
    <xf numFmtId="188" fontId="2" fillId="3" borderId="5" xfId="1" applyNumberFormat="1" applyFont="1" applyFill="1" applyBorder="1" applyAlignment="1">
      <alignment horizontal="center"/>
    </xf>
    <xf numFmtId="187" fontId="15" fillId="2" borderId="3" xfId="1" applyFont="1" applyFill="1" applyBorder="1" applyAlignment="1" applyProtection="1">
      <alignment horizontal="center"/>
    </xf>
    <xf numFmtId="0" fontId="16" fillId="0" borderId="5" xfId="2" applyFont="1" applyBorder="1"/>
    <xf numFmtId="187" fontId="17" fillId="4" borderId="5" xfId="1" applyFont="1" applyFill="1" applyBorder="1" applyAlignment="1" applyProtection="1">
      <alignment horizontal="center"/>
    </xf>
    <xf numFmtId="187" fontId="17" fillId="3" borderId="5" xfId="2" applyNumberFormat="1" applyFont="1" applyFill="1" applyBorder="1" applyAlignment="1">
      <alignment horizontal="center"/>
    </xf>
    <xf numFmtId="0" fontId="1" fillId="8" borderId="5" xfId="2" applyFill="1" applyBorder="1"/>
    <xf numFmtId="43" fontId="1" fillId="0" borderId="1" xfId="2" applyNumberFormat="1" applyBorder="1" applyAlignment="1">
      <alignment horizontal="center"/>
    </xf>
    <xf numFmtId="0" fontId="12" fillId="9" borderId="1" xfId="2" applyFont="1" applyFill="1" applyBorder="1" applyAlignment="1">
      <alignment horizontal="center"/>
    </xf>
    <xf numFmtId="187" fontId="1" fillId="0" borderId="1" xfId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1" xfId="2" applyFont="1" applyBorder="1"/>
    <xf numFmtId="43" fontId="12" fillId="0" borderId="1" xfId="2" applyNumberFormat="1" applyFont="1" applyBorder="1"/>
    <xf numFmtId="187" fontId="12" fillId="0" borderId="1" xfId="2" applyNumberFormat="1" applyFont="1" applyBorder="1"/>
    <xf numFmtId="43" fontId="12" fillId="0" borderId="1" xfId="2" applyNumberFormat="1" applyFont="1" applyBorder="1" applyAlignment="1">
      <alignment horizontal="center"/>
    </xf>
    <xf numFmtId="187" fontId="12" fillId="0" borderId="1" xfId="2" applyNumberFormat="1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" fillId="0" borderId="15" xfId="2" applyBorder="1"/>
    <xf numFmtId="0" fontId="1" fillId="9" borderId="5" xfId="2" applyFill="1" applyBorder="1"/>
    <xf numFmtId="0" fontId="1" fillId="9" borderId="10" xfId="2" applyFill="1" applyBorder="1"/>
    <xf numFmtId="0" fontId="16" fillId="9" borderId="5" xfId="2" applyFont="1" applyFill="1" applyBorder="1"/>
    <xf numFmtId="0" fontId="1" fillId="9" borderId="24" xfId="2" applyFill="1" applyBorder="1"/>
    <xf numFmtId="0" fontId="1" fillId="9" borderId="1" xfId="2" applyFill="1" applyBorder="1"/>
    <xf numFmtId="0" fontId="1" fillId="9" borderId="21" xfId="2" applyFill="1" applyBorder="1"/>
    <xf numFmtId="0" fontId="1" fillId="0" borderId="31" xfId="2" applyBorder="1"/>
    <xf numFmtId="0" fontId="4" fillId="0" borderId="26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1" fillId="0" borderId="7" xfId="2" applyBorder="1"/>
    <xf numFmtId="0" fontId="4" fillId="0" borderId="10" xfId="2" applyFont="1" applyBorder="1"/>
    <xf numFmtId="0" fontId="3" fillId="0" borderId="33" xfId="2" applyFont="1" applyBorder="1" applyAlignment="1">
      <alignment horizontal="center"/>
    </xf>
    <xf numFmtId="187" fontId="17" fillId="3" borderId="5" xfId="1" applyFont="1" applyFill="1" applyBorder="1" applyAlignment="1" applyProtection="1">
      <alignment horizontal="center"/>
    </xf>
    <xf numFmtId="0" fontId="1" fillId="10" borderId="6" xfId="2" applyFill="1" applyBorder="1"/>
    <xf numFmtId="0" fontId="1" fillId="11" borderId="5" xfId="2" applyFill="1" applyBorder="1"/>
    <xf numFmtId="0" fontId="1" fillId="9" borderId="0" xfId="2" applyFill="1"/>
    <xf numFmtId="0" fontId="1" fillId="10" borderId="0" xfId="2" applyFill="1"/>
    <xf numFmtId="0" fontId="1" fillId="10" borderId="1" xfId="2" applyFill="1" applyBorder="1"/>
    <xf numFmtId="0" fontId="1" fillId="0" borderId="0" xfId="2" quotePrefix="1"/>
    <xf numFmtId="0" fontId="16" fillId="0" borderId="1" xfId="2" applyFont="1" applyBorder="1"/>
    <xf numFmtId="0" fontId="16" fillId="9" borderId="10" xfId="2" applyFont="1" applyFill="1" applyBorder="1"/>
    <xf numFmtId="0" fontId="16" fillId="0" borderId="10" xfId="2" applyFont="1" applyBorder="1"/>
    <xf numFmtId="0" fontId="16" fillId="10" borderId="2" xfId="2" applyFont="1" applyFill="1" applyBorder="1"/>
    <xf numFmtId="0" fontId="16" fillId="0" borderId="23" xfId="2" applyFont="1" applyBorder="1"/>
    <xf numFmtId="187" fontId="17" fillId="4" borderId="10" xfId="1" applyFont="1" applyFill="1" applyBorder="1" applyAlignment="1" applyProtection="1">
      <alignment horizontal="center"/>
    </xf>
    <xf numFmtId="0" fontId="16" fillId="8" borderId="5" xfId="2" applyFont="1" applyFill="1" applyBorder="1"/>
    <xf numFmtId="0" fontId="1" fillId="9" borderId="15" xfId="2" applyFill="1" applyBorder="1"/>
    <xf numFmtId="0" fontId="16" fillId="0" borderId="37" xfId="2" applyFont="1" applyBorder="1"/>
    <xf numFmtId="0" fontId="16" fillId="0" borderId="7" xfId="2" applyFont="1" applyBorder="1"/>
    <xf numFmtId="0" fontId="1" fillId="0" borderId="1" xfId="2" applyBorder="1" applyAlignment="1">
      <alignment horizontal="center"/>
    </xf>
    <xf numFmtId="0" fontId="16" fillId="0" borderId="1" xfId="2" applyFont="1" applyBorder="1" applyAlignment="1">
      <alignment horizontal="center"/>
    </xf>
    <xf numFmtId="187" fontId="2" fillId="4" borderId="15" xfId="1" applyFont="1" applyFill="1" applyBorder="1" applyAlignment="1" applyProtection="1">
      <alignment horizontal="center"/>
    </xf>
    <xf numFmtId="0" fontId="16" fillId="0" borderId="15" xfId="2" applyFont="1" applyBorder="1"/>
    <xf numFmtId="0" fontId="16" fillId="10" borderId="1" xfId="2" applyFont="1" applyFill="1" applyBorder="1"/>
    <xf numFmtId="0" fontId="16" fillId="10" borderId="22" xfId="2" applyFont="1" applyFill="1" applyBorder="1"/>
    <xf numFmtId="0" fontId="16" fillId="0" borderId="38" xfId="2" applyFont="1" applyBorder="1"/>
    <xf numFmtId="187" fontId="17" fillId="4" borderId="24" xfId="1" applyFont="1" applyFill="1" applyBorder="1" applyAlignment="1" applyProtection="1">
      <alignment horizontal="center"/>
    </xf>
    <xf numFmtId="187" fontId="17" fillId="3" borderId="24" xfId="1" applyFont="1" applyFill="1" applyBorder="1" applyAlignment="1" applyProtection="1">
      <alignment horizontal="center"/>
    </xf>
    <xf numFmtId="0" fontId="1" fillId="10" borderId="37" xfId="2" applyFill="1" applyBorder="1"/>
    <xf numFmtId="187" fontId="2" fillId="4" borderId="21" xfId="1" applyFont="1" applyFill="1" applyBorder="1" applyAlignment="1" applyProtection="1">
      <alignment horizontal="center"/>
    </xf>
    <xf numFmtId="187" fontId="2" fillId="3" borderId="21" xfId="1" applyFont="1" applyFill="1" applyBorder="1" applyAlignment="1" applyProtection="1">
      <alignment horizontal="center"/>
    </xf>
    <xf numFmtId="187" fontId="17" fillId="4" borderId="1" xfId="1" applyFont="1" applyFill="1" applyBorder="1" applyAlignment="1" applyProtection="1">
      <alignment horizontal="center"/>
    </xf>
    <xf numFmtId="187" fontId="17" fillId="3" borderId="1" xfId="1" applyFont="1" applyFill="1" applyBorder="1" applyAlignment="1" applyProtection="1">
      <alignment horizontal="center"/>
    </xf>
    <xf numFmtId="0" fontId="16" fillId="9" borderId="1" xfId="2" applyFont="1" applyFill="1" applyBorder="1"/>
    <xf numFmtId="0" fontId="17" fillId="4" borderId="1" xfId="2" applyFont="1" applyFill="1" applyBorder="1" applyAlignment="1">
      <alignment horizontal="center"/>
    </xf>
    <xf numFmtId="187" fontId="17" fillId="4" borderId="1" xfId="1" applyFont="1" applyFill="1" applyBorder="1" applyAlignment="1">
      <alignment horizontal="center"/>
    </xf>
    <xf numFmtId="187" fontId="17" fillId="3" borderId="1" xfId="1" applyFont="1" applyFill="1" applyBorder="1" applyAlignment="1">
      <alignment horizontal="center"/>
    </xf>
    <xf numFmtId="187" fontId="17" fillId="3" borderId="1" xfId="2" applyNumberFormat="1" applyFont="1" applyFill="1" applyBorder="1" applyAlignment="1">
      <alignment horizontal="center"/>
    </xf>
    <xf numFmtId="43" fontId="1" fillId="0" borderId="0" xfId="2" applyNumberFormat="1"/>
    <xf numFmtId="43" fontId="12" fillId="0" borderId="0" xfId="2" applyNumberFormat="1" applyFont="1"/>
    <xf numFmtId="43" fontId="13" fillId="0" borderId="0" xfId="2" applyNumberFormat="1" applyFont="1"/>
    <xf numFmtId="0" fontId="1" fillId="13" borderId="0" xfId="2" applyFill="1"/>
    <xf numFmtId="0" fontId="1" fillId="12" borderId="0" xfId="2" applyFill="1"/>
    <xf numFmtId="0" fontId="1" fillId="5" borderId="19" xfId="2" applyFill="1" applyBorder="1"/>
    <xf numFmtId="0" fontId="1" fillId="5" borderId="18" xfId="2" applyFill="1" applyBorder="1"/>
    <xf numFmtId="0" fontId="1" fillId="5" borderId="10" xfId="2" applyFill="1" applyBorder="1"/>
    <xf numFmtId="0" fontId="1" fillId="5" borderId="17" xfId="2" applyFill="1" applyBorder="1"/>
    <xf numFmtId="0" fontId="1" fillId="5" borderId="16" xfId="2" applyFill="1" applyBorder="1"/>
    <xf numFmtId="0" fontId="1" fillId="5" borderId="15" xfId="2" applyFill="1" applyBorder="1"/>
    <xf numFmtId="0" fontId="4" fillId="0" borderId="26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1" fillId="5" borderId="9" xfId="2" applyFill="1" applyBorder="1"/>
    <xf numFmtId="0" fontId="1" fillId="5" borderId="8" xfId="2" applyFill="1" applyBorder="1"/>
    <xf numFmtId="0" fontId="1" fillId="5" borderId="7" xfId="2" applyFill="1" applyBorder="1"/>
    <xf numFmtId="0" fontId="4" fillId="0" borderId="34" xfId="2" applyFont="1" applyBorder="1" applyAlignment="1">
      <alignment horizontal="left"/>
    </xf>
    <xf numFmtId="0" fontId="4" fillId="0" borderId="35" xfId="2" applyFont="1" applyBorder="1" applyAlignment="1">
      <alignment horizontal="left"/>
    </xf>
    <xf numFmtId="0" fontId="1" fillId="5" borderId="30" xfId="2" applyFill="1" applyBorder="1"/>
    <xf numFmtId="0" fontId="1" fillId="5" borderId="25" xfId="2" applyFill="1" applyBorder="1"/>
    <xf numFmtId="0" fontId="1" fillId="5" borderId="23" xfId="2" applyFill="1" applyBorder="1"/>
    <xf numFmtId="0" fontId="4" fillId="0" borderId="11" xfId="2" applyFont="1" applyBorder="1"/>
    <xf numFmtId="0" fontId="4" fillId="0" borderId="10" xfId="2" applyFont="1" applyBorder="1"/>
    <xf numFmtId="0" fontId="1" fillId="5" borderId="14" xfId="2" applyFill="1" applyBorder="1"/>
    <xf numFmtId="0" fontId="1" fillId="5" borderId="0" xfId="2" applyFill="1"/>
    <xf numFmtId="0" fontId="1" fillId="5" borderId="13" xfId="2" applyFill="1" applyBorder="1"/>
    <xf numFmtId="0" fontId="1" fillId="5" borderId="1" xfId="2" applyFill="1" applyBorder="1"/>
    <xf numFmtId="0" fontId="3" fillId="2" borderId="32" xfId="2" applyFont="1" applyFill="1" applyBorder="1" applyAlignment="1">
      <alignment horizontal="center"/>
    </xf>
    <xf numFmtId="0" fontId="3" fillId="2" borderId="29" xfId="2" applyFont="1" applyFill="1" applyBorder="1" applyAlignment="1">
      <alignment horizontal="center"/>
    </xf>
    <xf numFmtId="0" fontId="3" fillId="2" borderId="33" xfId="2" applyFont="1" applyFill="1" applyBorder="1" applyAlignment="1">
      <alignment horizontal="center"/>
    </xf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9" defaultPivotStyle="PivotStyleLight16"/>
  <colors>
    <mruColors>
      <color rgb="FFFFFF66"/>
      <color rgb="FF66FF33"/>
      <color rgb="FF0914F7"/>
      <color rgb="FFCC00FF"/>
      <color rgb="FF6600FF"/>
      <color rgb="FF008000"/>
      <color rgb="FF002B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C96F-9540-4EEF-AEB1-1DBC9A70AEBF}">
  <dimension ref="A1:L162"/>
  <sheetViews>
    <sheetView zoomScale="80" zoomScaleNormal="80" zoomScaleSheetLayoutView="80" workbookViewId="0">
      <pane ySplit="4" topLeftCell="A143" activePane="bottomLeft" state="frozen"/>
      <selection activeCell="A3" sqref="A3"/>
      <selection pane="bottomLeft" activeCell="K42" sqref="K4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172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>
        <v>175321</v>
      </c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>
        <v>293921</v>
      </c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>
        <v>2923</v>
      </c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>
        <v>596324</v>
      </c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>
        <v>351206</v>
      </c>
      <c r="F20" s="37"/>
      <c r="H20" s="62">
        <f>E20-D32</f>
        <v>0</v>
      </c>
      <c r="J20" s="118"/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>
        <v>80000</v>
      </c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>
        <v>4772</v>
      </c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>
        <v>38388</v>
      </c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>
        <v>197733</v>
      </c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>
        <v>80000</v>
      </c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>
        <v>4772</v>
      </c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>
        <v>8</v>
      </c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>
        <v>832327</v>
      </c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>
        <v>30961</v>
      </c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>
        <v>47260</v>
      </c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>
        <v>351206</v>
      </c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>
        <v>332208</v>
      </c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>
        <v>24156</v>
      </c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>
        <v>2923</v>
      </c>
      <c r="F37" s="87"/>
      <c r="H37" s="62">
        <f>E37-D10</f>
        <v>0</v>
      </c>
      <c r="K37" s="116"/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>
        <v>38388</v>
      </c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>
        <v>332208</v>
      </c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>
        <v>121268</v>
      </c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>
        <v>121268</v>
      </c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>
        <v>24156</v>
      </c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>
        <v>8</v>
      </c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>
        <v>596324</v>
      </c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>
        <v>619014</v>
      </c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>
        <v>619014</v>
      </c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>
        <v>832327</v>
      </c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>
        <v>30961</v>
      </c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>
        <v>277416</v>
      </c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>
        <v>175321</v>
      </c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>
        <v>293921</v>
      </c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>
        <v>197733</v>
      </c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>
        <v>47260</v>
      </c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>
        <v>1155525</v>
      </c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>
        <v>277416</v>
      </c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>
        <v>1155525</v>
      </c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>
        <v>40443</v>
      </c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>
        <v>186000</v>
      </c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>
        <v>7029</v>
      </c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>
        <v>10843</v>
      </c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>
        <v>24</v>
      </c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>
        <v>37026</v>
      </c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>
        <v>65690</v>
      </c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>
        <v>24</v>
      </c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>
        <v>7029</v>
      </c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>
        <v>150000</v>
      </c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>
        <v>37026</v>
      </c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>
        <v>1532874</v>
      </c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>
        <v>10843</v>
      </c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>
        <v>150000</v>
      </c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>
        <v>65690</v>
      </c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>
        <v>44911</v>
      </c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>
        <v>44911</v>
      </c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>
        <v>1215909</v>
      </c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>
        <v>1215909</v>
      </c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>
        <v>452695</v>
      </c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>
        <v>452695</v>
      </c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>
        <v>32416.6</v>
      </c>
      <c r="E109" s="5"/>
      <c r="F109" s="7">
        <v>100826</v>
      </c>
      <c r="H109" s="64">
        <f>D109-E155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>
        <v>1532874</v>
      </c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>
        <v>9120</v>
      </c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>
        <v>43004</v>
      </c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>
        <v>31958</v>
      </c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>
        <v>31958</v>
      </c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>
        <v>40443</v>
      </c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>
        <v>186000</v>
      </c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>
        <v>449500</v>
      </c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>
        <v>449500</v>
      </c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>
        <v>43004</v>
      </c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>
        <v>9120</v>
      </c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>
        <v>77005</v>
      </c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9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9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9" s="2" customFormat="1" x14ac:dyDescent="0.5">
      <c r="A131" s="19">
        <v>101605</v>
      </c>
      <c r="B131" s="7" t="s">
        <v>109</v>
      </c>
      <c r="C131" s="7" t="s">
        <v>111</v>
      </c>
      <c r="D131" s="6"/>
      <c r="E131" s="5">
        <v>83510</v>
      </c>
      <c r="F131" s="7"/>
      <c r="H131" s="64">
        <f>E131-D135</f>
        <v>0</v>
      </c>
    </row>
    <row r="132" spans="1:9" s="2" customFormat="1" x14ac:dyDescent="0.5">
      <c r="A132" s="19">
        <v>101605</v>
      </c>
      <c r="B132" s="7" t="s">
        <v>109</v>
      </c>
      <c r="C132" s="68" t="s">
        <v>98</v>
      </c>
      <c r="D132" s="6">
        <v>77005</v>
      </c>
      <c r="E132" s="5"/>
      <c r="F132" s="7">
        <v>101604</v>
      </c>
      <c r="H132" s="64">
        <f>D132-E127</f>
        <v>0</v>
      </c>
    </row>
    <row r="133" spans="1:9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9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9" s="2" customFormat="1" x14ac:dyDescent="0.5">
      <c r="A135" s="34">
        <v>101606</v>
      </c>
      <c r="B135" s="7" t="s">
        <v>113</v>
      </c>
      <c r="C135" s="68" t="s">
        <v>114</v>
      </c>
      <c r="D135" s="6">
        <v>83510</v>
      </c>
      <c r="E135" s="5"/>
      <c r="F135" s="7">
        <v>101605</v>
      </c>
      <c r="H135" s="64">
        <f>D135-E131</f>
        <v>0</v>
      </c>
    </row>
    <row r="136" spans="1:9" s="2" customFormat="1" x14ac:dyDescent="0.5">
      <c r="A136" s="34">
        <v>101606</v>
      </c>
      <c r="B136" s="56" t="s">
        <v>113</v>
      </c>
      <c r="C136" s="68" t="s">
        <v>115</v>
      </c>
      <c r="D136" s="11">
        <v>237228.35</v>
      </c>
      <c r="E136" s="46"/>
      <c r="F136" s="7">
        <v>100800</v>
      </c>
      <c r="H136" s="64">
        <f>D136-E139</f>
        <v>0</v>
      </c>
    </row>
    <row r="137" spans="1:9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9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9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>
        <v>237228.35</v>
      </c>
      <c r="F139" s="7"/>
      <c r="H139" s="64">
        <f>E139-D136</f>
        <v>0</v>
      </c>
    </row>
    <row r="140" spans="1:9" s="2" customFormat="1" x14ac:dyDescent="0.5">
      <c r="A140" s="21"/>
      <c r="B140" s="7" t="s">
        <v>183</v>
      </c>
      <c r="C140" s="68" t="s">
        <v>184</v>
      </c>
      <c r="D140" s="11">
        <v>7284</v>
      </c>
      <c r="E140" s="46"/>
      <c r="F140" s="7"/>
      <c r="H140" s="64">
        <f>D140-E157</f>
        <v>0</v>
      </c>
      <c r="I140" s="83" t="s">
        <v>188</v>
      </c>
    </row>
    <row r="141" spans="1:9" s="2" customFormat="1" x14ac:dyDescent="0.5">
      <c r="A141" s="121" t="s">
        <v>120</v>
      </c>
      <c r="B141" s="122"/>
      <c r="C141" s="123"/>
      <c r="D141" s="8"/>
      <c r="E141" s="8"/>
      <c r="F141" s="7"/>
      <c r="H141" s="60"/>
    </row>
    <row r="142" spans="1:9" s="2" customFormat="1" x14ac:dyDescent="0.5">
      <c r="A142" s="21">
        <v>101609</v>
      </c>
      <c r="B142" s="7" t="s">
        <v>121</v>
      </c>
      <c r="C142" s="7" t="s">
        <v>122</v>
      </c>
      <c r="D142" s="6"/>
      <c r="E142" s="5">
        <v>23054</v>
      </c>
      <c r="F142" s="7"/>
      <c r="H142" s="64">
        <f>E142-D144</f>
        <v>0</v>
      </c>
    </row>
    <row r="143" spans="1:9" s="2" customFormat="1" x14ac:dyDescent="0.5">
      <c r="A143" s="21">
        <v>101609</v>
      </c>
      <c r="B143" s="7" t="s">
        <v>121</v>
      </c>
      <c r="C143" s="68" t="s">
        <v>123</v>
      </c>
      <c r="D143" s="6">
        <v>30010</v>
      </c>
      <c r="E143" s="5"/>
      <c r="F143" s="7">
        <v>101610</v>
      </c>
      <c r="H143" s="64">
        <f>D143-E147</f>
        <v>0</v>
      </c>
    </row>
    <row r="144" spans="1:9" s="2" customFormat="1" x14ac:dyDescent="0.5">
      <c r="A144" s="21"/>
      <c r="B144" s="7" t="s">
        <v>124</v>
      </c>
      <c r="C144" s="68" t="s">
        <v>125</v>
      </c>
      <c r="D144" s="6">
        <v>23054</v>
      </c>
      <c r="E144" s="5"/>
      <c r="F144" s="7">
        <v>101609</v>
      </c>
      <c r="H144" s="64">
        <f>D144-E142</f>
        <v>0</v>
      </c>
    </row>
    <row r="145" spans="1:9" s="2" customFormat="1" x14ac:dyDescent="0.5">
      <c r="A145" s="124" t="s">
        <v>126</v>
      </c>
      <c r="B145" s="125"/>
      <c r="C145" s="126"/>
      <c r="D145" s="8"/>
      <c r="E145" s="48"/>
      <c r="F145" s="7"/>
      <c r="H145" s="60"/>
    </row>
    <row r="146" spans="1:9" s="2" customFormat="1" x14ac:dyDescent="0.5">
      <c r="A146" s="10">
        <v>101610</v>
      </c>
      <c r="B146" s="10" t="s">
        <v>127</v>
      </c>
      <c r="C146" s="10" t="s">
        <v>128</v>
      </c>
      <c r="D146" s="9"/>
      <c r="E146" s="5"/>
      <c r="F146" s="7"/>
      <c r="H146" s="64">
        <f>E146-D150</f>
        <v>0</v>
      </c>
    </row>
    <row r="147" spans="1:9" s="2" customFormat="1" x14ac:dyDescent="0.5">
      <c r="A147" s="10">
        <v>101610</v>
      </c>
      <c r="B147" s="10" t="s">
        <v>127</v>
      </c>
      <c r="C147" s="10" t="s">
        <v>129</v>
      </c>
      <c r="D147" s="9"/>
      <c r="E147" s="5">
        <v>30010</v>
      </c>
      <c r="F147" s="7"/>
      <c r="H147" s="65">
        <f>E147-D143</f>
        <v>0</v>
      </c>
    </row>
    <row r="148" spans="1:9" s="2" customFormat="1" x14ac:dyDescent="0.5">
      <c r="A148" s="10">
        <v>101610</v>
      </c>
      <c r="B148" s="10" t="s">
        <v>127</v>
      </c>
      <c r="C148" s="72" t="s">
        <v>130</v>
      </c>
      <c r="D148" s="9">
        <v>100185</v>
      </c>
      <c r="E148" s="5"/>
      <c r="F148" s="7">
        <v>101611</v>
      </c>
      <c r="H148" s="64">
        <f>D148-E151</f>
        <v>0</v>
      </c>
    </row>
    <row r="149" spans="1:9" s="2" customFormat="1" x14ac:dyDescent="0.5">
      <c r="A149" s="142" t="s">
        <v>131</v>
      </c>
      <c r="B149" s="142"/>
      <c r="C149" s="142"/>
      <c r="D149" s="16"/>
      <c r="E149" s="8"/>
      <c r="F149" s="7"/>
      <c r="H149" s="60"/>
    </row>
    <row r="150" spans="1:9" s="35" customFormat="1" x14ac:dyDescent="0.5">
      <c r="A150" s="10">
        <v>101611</v>
      </c>
      <c r="B150" s="10" t="s">
        <v>132</v>
      </c>
      <c r="C150" s="72" t="s">
        <v>133</v>
      </c>
      <c r="D150" s="9"/>
      <c r="E150" s="5"/>
      <c r="F150" s="7">
        <v>101610</v>
      </c>
      <c r="H150" s="64">
        <f>D150-E146</f>
        <v>0</v>
      </c>
    </row>
    <row r="151" spans="1:9" s="35" customFormat="1" x14ac:dyDescent="0.5">
      <c r="A151" s="10">
        <v>101611</v>
      </c>
      <c r="B151" s="10" t="s">
        <v>132</v>
      </c>
      <c r="C151" s="10" t="s">
        <v>134</v>
      </c>
      <c r="D151" s="9"/>
      <c r="E151" s="5">
        <v>100185</v>
      </c>
      <c r="F151" s="7"/>
      <c r="H151" s="64">
        <f>E151-D148</f>
        <v>0</v>
      </c>
    </row>
    <row r="152" spans="1:9" s="2" customFormat="1" x14ac:dyDescent="0.5">
      <c r="A152" s="142" t="s">
        <v>135</v>
      </c>
      <c r="B152" s="142"/>
      <c r="C152" s="142"/>
      <c r="D152" s="16"/>
      <c r="E152" s="8"/>
      <c r="F152" s="7"/>
      <c r="H152" s="60"/>
    </row>
    <row r="153" spans="1:9" s="2" customFormat="1" x14ac:dyDescent="0.5">
      <c r="A153" s="10">
        <v>100825</v>
      </c>
      <c r="B153" s="10" t="s">
        <v>136</v>
      </c>
      <c r="C153" s="72" t="s">
        <v>137</v>
      </c>
      <c r="D153" s="9">
        <v>31150</v>
      </c>
      <c r="E153" s="5"/>
      <c r="F153" s="7">
        <v>100826</v>
      </c>
      <c r="H153" s="64">
        <f>D153-E154</f>
        <v>0</v>
      </c>
    </row>
    <row r="154" spans="1:9" s="2" customFormat="1" x14ac:dyDescent="0.5">
      <c r="A154" s="10">
        <v>100826</v>
      </c>
      <c r="B154" s="10" t="s">
        <v>138</v>
      </c>
      <c r="C154" s="10" t="s">
        <v>139</v>
      </c>
      <c r="D154" s="9"/>
      <c r="E154" s="5">
        <v>31150</v>
      </c>
      <c r="F154" s="7"/>
      <c r="H154" s="64">
        <f>E154-D153</f>
        <v>0</v>
      </c>
    </row>
    <row r="155" spans="1:9" s="2" customFormat="1" x14ac:dyDescent="0.5">
      <c r="A155" s="10">
        <v>100826</v>
      </c>
      <c r="B155" s="10" t="s">
        <v>138</v>
      </c>
      <c r="C155" s="10" t="s">
        <v>140</v>
      </c>
      <c r="D155" s="99"/>
      <c r="E155" s="5">
        <v>32416.6</v>
      </c>
      <c r="F155" s="7"/>
      <c r="H155" s="64">
        <f>E155-D109</f>
        <v>0</v>
      </c>
    </row>
    <row r="156" spans="1:9" s="2" customFormat="1" x14ac:dyDescent="0.5">
      <c r="A156" s="124" t="s">
        <v>185</v>
      </c>
      <c r="B156" s="125"/>
      <c r="C156" s="126"/>
      <c r="D156" s="8"/>
      <c r="E156" s="48"/>
      <c r="F156" s="7"/>
      <c r="H156" s="60"/>
    </row>
    <row r="157" spans="1:9" s="2" customFormat="1" x14ac:dyDescent="0.5">
      <c r="A157" s="10"/>
      <c r="B157" s="10" t="s">
        <v>186</v>
      </c>
      <c r="C157" s="10" t="s">
        <v>187</v>
      </c>
      <c r="D157" s="9"/>
      <c r="E157" s="5">
        <v>7284</v>
      </c>
      <c r="F157" s="7"/>
      <c r="H157" s="64">
        <f>E157-D140</f>
        <v>0</v>
      </c>
      <c r="I157" s="83" t="s">
        <v>188</v>
      </c>
    </row>
    <row r="158" spans="1:9" s="2" customFormat="1" ht="24" thickBot="1" x14ac:dyDescent="0.55000000000000004">
      <c r="A158" s="143" t="s">
        <v>141</v>
      </c>
      <c r="B158" s="144"/>
      <c r="C158" s="145"/>
      <c r="D158" s="52">
        <f>SUM(D5:D157)</f>
        <v>10079599.949999999</v>
      </c>
      <c r="E158" s="52">
        <f>SUM(E5:E157)</f>
        <v>10079599.949999999</v>
      </c>
      <c r="F158" s="79"/>
      <c r="H158" s="64">
        <f>SUM(H6:H155)</f>
        <v>0</v>
      </c>
    </row>
    <row r="159" spans="1:9" s="2" customFormat="1" x14ac:dyDescent="0.5">
      <c r="A159" s="1"/>
      <c r="B159" s="1"/>
      <c r="C159" s="1"/>
      <c r="D159" s="3"/>
      <c r="F159" s="1"/>
      <c r="H159" s="66"/>
    </row>
    <row r="160" spans="1:9" s="2" customFormat="1" x14ac:dyDescent="0.5">
      <c r="A160" s="1"/>
      <c r="B160" s="1"/>
      <c r="C160" s="1"/>
      <c r="D160" s="57">
        <f>D158-E158</f>
        <v>0</v>
      </c>
      <c r="E160" s="59">
        <f>SUM(E6:E157)-E14-E17-E21-E22-E33-E34-E35-E42-E44-E67-E75-E82-E85-E86-E96-E101-E142-E154</f>
        <v>9210251.9499999993</v>
      </c>
      <c r="F160" s="1"/>
      <c r="H160" s="66"/>
    </row>
    <row r="161" spans="1:8" s="2" customFormat="1" x14ac:dyDescent="0.5">
      <c r="A161" s="1"/>
      <c r="B161" s="1"/>
      <c r="C161" s="1"/>
      <c r="D161" s="58" t="s">
        <v>142</v>
      </c>
      <c r="E161" s="58" t="s">
        <v>143</v>
      </c>
      <c r="F161" s="1"/>
      <c r="H161" s="66"/>
    </row>
    <row r="162" spans="1:8" x14ac:dyDescent="0.5">
      <c r="E162" s="3"/>
    </row>
  </sheetData>
  <mergeCells count="24">
    <mergeCell ref="A149:C149"/>
    <mergeCell ref="A152:C152"/>
    <mergeCell ref="A158:C158"/>
    <mergeCell ref="A117:C117"/>
    <mergeCell ref="A124:C124"/>
    <mergeCell ref="A129:C129"/>
    <mergeCell ref="A141:C141"/>
    <mergeCell ref="A145:C145"/>
    <mergeCell ref="A61:C61"/>
    <mergeCell ref="A156:C156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F12B-94B6-4E7B-88D6-99124D9C7BE7}">
  <dimension ref="A1:L162"/>
  <sheetViews>
    <sheetView zoomScale="80" zoomScaleNormal="80" zoomScaleSheetLayoutView="80" workbookViewId="0">
      <pane ySplit="4" topLeftCell="A5" activePane="bottomLeft" state="frozen"/>
      <selection activeCell="A3" sqref="A3"/>
      <selection pane="bottomLeft" activeCell="D158" sqref="D158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171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>
        <v>167834</v>
      </c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>
        <v>335323</v>
      </c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>
        <v>16638</v>
      </c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>
        <v>208436</v>
      </c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2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2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2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  <c r="L19" s="116"/>
    </row>
    <row r="20" spans="1:12" s="38" customFormat="1" x14ac:dyDescent="0.5">
      <c r="A20" s="81">
        <v>101593</v>
      </c>
      <c r="B20" s="7" t="s">
        <v>20</v>
      </c>
      <c r="C20" s="7" t="s">
        <v>24</v>
      </c>
      <c r="D20" s="14"/>
      <c r="E20" s="5">
        <v>345619</v>
      </c>
      <c r="F20" s="37"/>
      <c r="H20" s="62">
        <f>E20-D32</f>
        <v>0</v>
      </c>
      <c r="J20" s="118"/>
      <c r="K20" s="118"/>
    </row>
    <row r="21" spans="1:12" x14ac:dyDescent="0.5">
      <c r="A21" s="21">
        <v>101593</v>
      </c>
      <c r="B21" s="7" t="s">
        <v>20</v>
      </c>
      <c r="C21" s="7" t="s">
        <v>25</v>
      </c>
      <c r="D21" s="14"/>
      <c r="E21" s="5">
        <v>80000</v>
      </c>
      <c r="F21" s="7"/>
      <c r="H21" s="62">
        <f>E21-D25</f>
        <v>0</v>
      </c>
      <c r="K21" s="116"/>
    </row>
    <row r="22" spans="1:12" x14ac:dyDescent="0.5">
      <c r="A22" s="21">
        <v>101593</v>
      </c>
      <c r="B22" s="7" t="s">
        <v>20</v>
      </c>
      <c r="C22" s="7" t="s">
        <v>26</v>
      </c>
      <c r="D22" s="14"/>
      <c r="E22" s="5">
        <v>11622</v>
      </c>
      <c r="F22" s="7"/>
      <c r="H22" s="62">
        <f>E22-D26</f>
        <v>0</v>
      </c>
    </row>
    <row r="23" spans="1:12" x14ac:dyDescent="0.5">
      <c r="A23" s="21">
        <v>101593</v>
      </c>
      <c r="B23" s="7" t="s">
        <v>20</v>
      </c>
      <c r="C23" s="68" t="s">
        <v>27</v>
      </c>
      <c r="D23" s="6">
        <v>45255</v>
      </c>
      <c r="E23" s="5"/>
      <c r="F23" s="7">
        <v>100711</v>
      </c>
      <c r="H23" s="63">
        <f>E38-D23</f>
        <v>0</v>
      </c>
    </row>
    <row r="24" spans="1:12" x14ac:dyDescent="0.5">
      <c r="A24" s="21">
        <v>101593</v>
      </c>
      <c r="B24" s="7" t="s">
        <v>20</v>
      </c>
      <c r="C24" s="7" t="s">
        <v>28</v>
      </c>
      <c r="D24" s="6"/>
      <c r="E24" s="5">
        <v>209977</v>
      </c>
      <c r="F24" s="7"/>
      <c r="H24" s="62">
        <f>E24-D59</f>
        <v>0</v>
      </c>
    </row>
    <row r="25" spans="1:12" x14ac:dyDescent="0.5">
      <c r="A25" s="20">
        <v>100703</v>
      </c>
      <c r="B25" s="7" t="s">
        <v>29</v>
      </c>
      <c r="C25" s="68" t="s">
        <v>30</v>
      </c>
      <c r="D25" s="6">
        <v>80000</v>
      </c>
      <c r="E25" s="5"/>
      <c r="F25" s="7">
        <v>101593</v>
      </c>
      <c r="H25" s="62">
        <f>D25-E21</f>
        <v>0</v>
      </c>
    </row>
    <row r="26" spans="1:12" x14ac:dyDescent="0.5">
      <c r="A26" s="21">
        <v>100702</v>
      </c>
      <c r="B26" s="7" t="s">
        <v>31</v>
      </c>
      <c r="C26" s="68" t="s">
        <v>30</v>
      </c>
      <c r="D26" s="6">
        <v>11622</v>
      </c>
      <c r="E26" s="5"/>
      <c r="F26" s="7">
        <v>101593</v>
      </c>
      <c r="H26" s="62">
        <f>D26-E22</f>
        <v>0</v>
      </c>
    </row>
    <row r="27" spans="1:12" x14ac:dyDescent="0.5">
      <c r="A27" s="21">
        <v>101593</v>
      </c>
      <c r="B27" s="7" t="s">
        <v>20</v>
      </c>
      <c r="C27" s="68" t="s">
        <v>42</v>
      </c>
      <c r="D27" s="6">
        <v>7</v>
      </c>
      <c r="E27" s="5"/>
      <c r="F27" s="67"/>
      <c r="H27" s="62">
        <f>D27-E48</f>
        <v>0</v>
      </c>
      <c r="I27" s="1" t="s">
        <v>160</v>
      </c>
    </row>
    <row r="28" spans="1:12" x14ac:dyDescent="0.5">
      <c r="A28" s="81">
        <v>101593</v>
      </c>
      <c r="B28" s="7" t="s">
        <v>166</v>
      </c>
      <c r="C28" s="7" t="s">
        <v>24</v>
      </c>
      <c r="D28" s="14"/>
      <c r="E28" s="5">
        <v>396314</v>
      </c>
      <c r="F28" s="67"/>
      <c r="H28" s="62">
        <f>E28-D52</f>
        <v>0</v>
      </c>
      <c r="I28" s="84" t="s">
        <v>161</v>
      </c>
    </row>
    <row r="29" spans="1:12" x14ac:dyDescent="0.5">
      <c r="A29" s="81">
        <v>101593</v>
      </c>
      <c r="B29" s="7" t="s">
        <v>20</v>
      </c>
      <c r="C29" s="7" t="s">
        <v>44</v>
      </c>
      <c r="D29" s="6"/>
      <c r="E29" s="5">
        <v>51940</v>
      </c>
      <c r="F29" s="7"/>
      <c r="H29" s="62">
        <f>E29-D53</f>
        <v>0</v>
      </c>
      <c r="I29" s="84" t="s">
        <v>167</v>
      </c>
    </row>
    <row r="30" spans="1:12" x14ac:dyDescent="0.5">
      <c r="A30" s="21">
        <v>101593</v>
      </c>
      <c r="B30" s="7" t="s">
        <v>20</v>
      </c>
      <c r="C30" s="68" t="s">
        <v>169</v>
      </c>
      <c r="D30" s="6">
        <v>61901</v>
      </c>
      <c r="E30" s="5"/>
      <c r="F30" s="67"/>
      <c r="H30" s="62">
        <f>D30-E60</f>
        <v>0</v>
      </c>
      <c r="I30" s="120" t="s">
        <v>170</v>
      </c>
    </row>
    <row r="31" spans="1:12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2" s="38" customFormat="1" x14ac:dyDescent="0.5">
      <c r="A32" s="90">
        <v>101594</v>
      </c>
      <c r="B32" s="87" t="s">
        <v>33</v>
      </c>
      <c r="C32" s="88" t="s">
        <v>30</v>
      </c>
      <c r="D32" s="54">
        <v>345619</v>
      </c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>
        <v>285714</v>
      </c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>
        <v>21246</v>
      </c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>
        <v>16638</v>
      </c>
      <c r="F37" s="87"/>
      <c r="H37" s="62">
        <f>E37-D10</f>
        <v>0</v>
      </c>
      <c r="K37" s="116"/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>
        <v>45255</v>
      </c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>
        <v>285714</v>
      </c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>
        <v>115661</v>
      </c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>
        <v>115661</v>
      </c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>
        <v>21246</v>
      </c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>
        <v>7</v>
      </c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>
        <v>208436</v>
      </c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>
        <v>224470</v>
      </c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>
        <v>224470</v>
      </c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>
        <v>396314</v>
      </c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>
        <v>51940</v>
      </c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>
        <v>211034</v>
      </c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>
        <v>167834</v>
      </c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>
        <v>335323</v>
      </c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>
        <v>209977</v>
      </c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>
        <v>61901</v>
      </c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>
        <v>1163010</v>
      </c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>
        <v>211034</v>
      </c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>
        <v>1163010</v>
      </c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>
        <v>77569</v>
      </c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>
        <v>180000</v>
      </c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>
        <v>6647</v>
      </c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>
        <v>10896</v>
      </c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>
        <v>2453</v>
      </c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>
        <v>34008</v>
      </c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>
        <v>63853</v>
      </c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>
        <v>2453</v>
      </c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>
        <v>6647</v>
      </c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>
        <v>150000</v>
      </c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>
        <v>34008</v>
      </c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>
        <v>1422109</v>
      </c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>
        <v>10896</v>
      </c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>
        <v>150000</v>
      </c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>
        <v>63853</v>
      </c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>
        <v>52897</v>
      </c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>
        <v>52897</v>
      </c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>
        <v>1117609</v>
      </c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>
        <v>1117609</v>
      </c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>
        <v>397216</v>
      </c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>
        <v>397216</v>
      </c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>
        <v>18716</v>
      </c>
      <c r="E109" s="5"/>
      <c r="F109" s="7">
        <v>100826</v>
      </c>
      <c r="H109" s="64">
        <f>D109-E155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>
        <v>1422109</v>
      </c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>
        <v>8554</v>
      </c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>
        <v>47511</v>
      </c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>
        <v>37406</v>
      </c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>
        <v>37406</v>
      </c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>
        <v>77569</v>
      </c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>
        <v>180000</v>
      </c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>
        <v>450000</v>
      </c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>
        <v>450000</v>
      </c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>
        <v>47511</v>
      </c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>
        <v>8554</v>
      </c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>
        <v>79296</v>
      </c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9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9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9" s="2" customFormat="1" x14ac:dyDescent="0.5">
      <c r="A131" s="19">
        <v>101605</v>
      </c>
      <c r="B131" s="7" t="s">
        <v>109</v>
      </c>
      <c r="C131" s="7" t="s">
        <v>111</v>
      </c>
      <c r="D131" s="6"/>
      <c r="E131" s="5">
        <v>81415</v>
      </c>
      <c r="F131" s="7"/>
      <c r="H131" s="64">
        <f>E131-D135</f>
        <v>0</v>
      </c>
    </row>
    <row r="132" spans="1:9" s="2" customFormat="1" x14ac:dyDescent="0.5">
      <c r="A132" s="19">
        <v>101605</v>
      </c>
      <c r="B132" s="7" t="s">
        <v>109</v>
      </c>
      <c r="C132" s="68" t="s">
        <v>98</v>
      </c>
      <c r="D132" s="6">
        <v>79296</v>
      </c>
      <c r="E132" s="5"/>
      <c r="F132" s="7">
        <v>101604</v>
      </c>
      <c r="H132" s="64">
        <f>D132-E127</f>
        <v>0</v>
      </c>
    </row>
    <row r="133" spans="1:9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9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9" s="2" customFormat="1" x14ac:dyDescent="0.5">
      <c r="A135" s="34">
        <v>101606</v>
      </c>
      <c r="B135" s="7" t="s">
        <v>113</v>
      </c>
      <c r="C135" s="68" t="s">
        <v>114</v>
      </c>
      <c r="D135" s="6">
        <v>81415</v>
      </c>
      <c r="E135" s="5"/>
      <c r="F135" s="7">
        <v>101605</v>
      </c>
      <c r="H135" s="64">
        <f>D135-E131</f>
        <v>0</v>
      </c>
    </row>
    <row r="136" spans="1:9" s="2" customFormat="1" x14ac:dyDescent="0.5">
      <c r="A136" s="34">
        <v>101606</v>
      </c>
      <c r="B136" s="56" t="s">
        <v>113</v>
      </c>
      <c r="C136" s="68" t="s">
        <v>115</v>
      </c>
      <c r="D136" s="11">
        <v>207604.24</v>
      </c>
      <c r="E136" s="46"/>
      <c r="F136" s="7">
        <v>100800</v>
      </c>
      <c r="H136" s="64">
        <f>D136-E139</f>
        <v>0</v>
      </c>
    </row>
    <row r="137" spans="1:9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9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9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>
        <v>207604.24</v>
      </c>
      <c r="F139" s="7"/>
      <c r="H139" s="64">
        <f>E139-D136</f>
        <v>0</v>
      </c>
    </row>
    <row r="140" spans="1:9" s="2" customFormat="1" x14ac:dyDescent="0.5">
      <c r="A140" s="21"/>
      <c r="B140" s="7" t="s">
        <v>183</v>
      </c>
      <c r="C140" s="68" t="s">
        <v>184</v>
      </c>
      <c r="D140" s="11">
        <v>30063</v>
      </c>
      <c r="E140" s="46"/>
      <c r="F140" s="7"/>
      <c r="H140" s="64">
        <f>D140-E157</f>
        <v>0</v>
      </c>
      <c r="I140" s="83" t="s">
        <v>188</v>
      </c>
    </row>
    <row r="141" spans="1:9" s="2" customFormat="1" x14ac:dyDescent="0.5">
      <c r="A141" s="121" t="s">
        <v>120</v>
      </c>
      <c r="B141" s="122"/>
      <c r="C141" s="123"/>
      <c r="D141" s="8"/>
      <c r="E141" s="8"/>
      <c r="F141" s="7"/>
      <c r="H141" s="60"/>
    </row>
    <row r="142" spans="1:9" s="2" customFormat="1" x14ac:dyDescent="0.5">
      <c r="A142" s="21">
        <v>101609</v>
      </c>
      <c r="B142" s="7" t="s">
        <v>121</v>
      </c>
      <c r="C142" s="7" t="s">
        <v>122</v>
      </c>
      <c r="D142" s="6"/>
      <c r="E142" s="5">
        <v>22605</v>
      </c>
      <c r="F142" s="7"/>
      <c r="H142" s="64">
        <f>E142-D144</f>
        <v>0</v>
      </c>
    </row>
    <row r="143" spans="1:9" s="2" customFormat="1" x14ac:dyDescent="0.5">
      <c r="A143" s="21">
        <v>101609</v>
      </c>
      <c r="B143" s="7" t="s">
        <v>121</v>
      </c>
      <c r="C143" s="68" t="s">
        <v>123</v>
      </c>
      <c r="D143" s="6">
        <v>27920</v>
      </c>
      <c r="E143" s="5"/>
      <c r="F143" s="7">
        <v>101610</v>
      </c>
      <c r="H143" s="64">
        <f>D143-E147</f>
        <v>0</v>
      </c>
    </row>
    <row r="144" spans="1:9" s="2" customFormat="1" x14ac:dyDescent="0.5">
      <c r="A144" s="21"/>
      <c r="B144" s="7" t="s">
        <v>124</v>
      </c>
      <c r="C144" s="68" t="s">
        <v>125</v>
      </c>
      <c r="D144" s="6">
        <v>22605</v>
      </c>
      <c r="E144" s="5"/>
      <c r="F144" s="7">
        <v>101609</v>
      </c>
      <c r="H144" s="64">
        <f>D144-E142</f>
        <v>0</v>
      </c>
    </row>
    <row r="145" spans="1:9" s="2" customFormat="1" x14ac:dyDescent="0.5">
      <c r="A145" s="124" t="s">
        <v>126</v>
      </c>
      <c r="B145" s="125"/>
      <c r="C145" s="126"/>
      <c r="D145" s="8"/>
      <c r="E145" s="48"/>
      <c r="F145" s="7"/>
      <c r="H145" s="60"/>
    </row>
    <row r="146" spans="1:9" s="2" customFormat="1" x14ac:dyDescent="0.5">
      <c r="A146" s="10">
        <v>101610</v>
      </c>
      <c r="B146" s="10" t="s">
        <v>127</v>
      </c>
      <c r="C146" s="10" t="s">
        <v>128</v>
      </c>
      <c r="D146" s="9"/>
      <c r="E146" s="5"/>
      <c r="F146" s="7"/>
      <c r="H146" s="64">
        <f>E146-D150</f>
        <v>0</v>
      </c>
    </row>
    <row r="147" spans="1:9" s="2" customFormat="1" x14ac:dyDescent="0.5">
      <c r="A147" s="10">
        <v>101610</v>
      </c>
      <c r="B147" s="10" t="s">
        <v>127</v>
      </c>
      <c r="C147" s="10" t="s">
        <v>129</v>
      </c>
      <c r="D147" s="9"/>
      <c r="E147" s="5">
        <v>27920</v>
      </c>
      <c r="F147" s="7"/>
      <c r="H147" s="65">
        <f>E147-D143</f>
        <v>0</v>
      </c>
    </row>
    <row r="148" spans="1:9" s="2" customFormat="1" x14ac:dyDescent="0.5">
      <c r="A148" s="10">
        <v>101610</v>
      </c>
      <c r="B148" s="10" t="s">
        <v>127</v>
      </c>
      <c r="C148" s="72" t="s">
        <v>130</v>
      </c>
      <c r="D148" s="9">
        <v>122161</v>
      </c>
      <c r="E148" s="5"/>
      <c r="F148" s="7">
        <v>101611</v>
      </c>
      <c r="H148" s="64">
        <f>D148-E151</f>
        <v>0</v>
      </c>
    </row>
    <row r="149" spans="1:9" s="2" customFormat="1" x14ac:dyDescent="0.5">
      <c r="A149" s="142" t="s">
        <v>131</v>
      </c>
      <c r="B149" s="142"/>
      <c r="C149" s="142"/>
      <c r="D149" s="16"/>
      <c r="E149" s="8"/>
      <c r="F149" s="7"/>
      <c r="H149" s="60"/>
    </row>
    <row r="150" spans="1:9" s="35" customFormat="1" x14ac:dyDescent="0.5">
      <c r="A150" s="10">
        <v>101611</v>
      </c>
      <c r="B150" s="10" t="s">
        <v>132</v>
      </c>
      <c r="C150" s="72" t="s">
        <v>133</v>
      </c>
      <c r="D150" s="9"/>
      <c r="E150" s="5"/>
      <c r="F150" s="7">
        <v>101610</v>
      </c>
      <c r="H150" s="64">
        <f>D150-E146</f>
        <v>0</v>
      </c>
    </row>
    <row r="151" spans="1:9" s="35" customFormat="1" x14ac:dyDescent="0.5">
      <c r="A151" s="10">
        <v>101611</v>
      </c>
      <c r="B151" s="10" t="s">
        <v>132</v>
      </c>
      <c r="C151" s="10" t="s">
        <v>134</v>
      </c>
      <c r="D151" s="9"/>
      <c r="E151" s="5">
        <v>122161</v>
      </c>
      <c r="F151" s="7"/>
      <c r="H151" s="64">
        <f>E151-D148</f>
        <v>0</v>
      </c>
    </row>
    <row r="152" spans="1:9" s="2" customFormat="1" x14ac:dyDescent="0.5">
      <c r="A152" s="142" t="s">
        <v>135</v>
      </c>
      <c r="B152" s="142"/>
      <c r="C152" s="142"/>
      <c r="D152" s="16"/>
      <c r="E152" s="8"/>
      <c r="F152" s="7"/>
      <c r="H152" s="60"/>
    </row>
    <row r="153" spans="1:9" s="2" customFormat="1" x14ac:dyDescent="0.5">
      <c r="A153" s="10">
        <v>100825</v>
      </c>
      <c r="B153" s="10" t="s">
        <v>136</v>
      </c>
      <c r="C153" s="72" t="s">
        <v>137</v>
      </c>
      <c r="D153" s="9">
        <v>34500</v>
      </c>
      <c r="E153" s="5"/>
      <c r="F153" s="7">
        <v>100826</v>
      </c>
      <c r="H153" s="64">
        <f>D153-E154</f>
        <v>0</v>
      </c>
    </row>
    <row r="154" spans="1:9" s="2" customFormat="1" x14ac:dyDescent="0.5">
      <c r="A154" s="10">
        <v>100826</v>
      </c>
      <c r="B154" s="10" t="s">
        <v>138</v>
      </c>
      <c r="C154" s="10" t="s">
        <v>139</v>
      </c>
      <c r="D154" s="9"/>
      <c r="E154" s="5">
        <v>34500</v>
      </c>
      <c r="F154" s="7"/>
      <c r="H154" s="64">
        <f>E154-D153</f>
        <v>0</v>
      </c>
    </row>
    <row r="155" spans="1:9" s="2" customFormat="1" x14ac:dyDescent="0.5">
      <c r="A155" s="10">
        <v>100826</v>
      </c>
      <c r="B155" s="10" t="s">
        <v>138</v>
      </c>
      <c r="C155" s="10" t="s">
        <v>140</v>
      </c>
      <c r="D155" s="99"/>
      <c r="E155" s="5">
        <v>18716</v>
      </c>
      <c r="F155" s="7"/>
      <c r="H155" s="64">
        <f>E155-D109</f>
        <v>0</v>
      </c>
    </row>
    <row r="156" spans="1:9" s="2" customFormat="1" x14ac:dyDescent="0.5">
      <c r="A156" s="124" t="s">
        <v>185</v>
      </c>
      <c r="B156" s="125"/>
      <c r="C156" s="126"/>
      <c r="D156" s="8"/>
      <c r="E156" s="48"/>
      <c r="F156" s="7"/>
      <c r="H156" s="60"/>
    </row>
    <row r="157" spans="1:9" s="2" customFormat="1" x14ac:dyDescent="0.5">
      <c r="A157" s="10"/>
      <c r="B157" s="10" t="s">
        <v>186</v>
      </c>
      <c r="C157" s="10" t="s">
        <v>187</v>
      </c>
      <c r="D157" s="9"/>
      <c r="E157" s="5">
        <v>30063</v>
      </c>
      <c r="F157" s="7"/>
      <c r="H157" s="64">
        <f>E157-D140</f>
        <v>0</v>
      </c>
      <c r="I157" s="83" t="s">
        <v>188</v>
      </c>
    </row>
    <row r="158" spans="1:9" s="2" customFormat="1" ht="24" thickBot="1" x14ac:dyDescent="0.55000000000000004">
      <c r="A158" s="143" t="s">
        <v>141</v>
      </c>
      <c r="B158" s="144"/>
      <c r="C158" s="145"/>
      <c r="D158" s="52">
        <f>SUM(D5:D157)</f>
        <v>8635009.2400000002</v>
      </c>
      <c r="E158" s="52">
        <f>SUM(E5:E157)</f>
        <v>8635009.2400000002</v>
      </c>
      <c r="F158" s="79"/>
      <c r="H158" s="64">
        <f>SUM(H6:H155)</f>
        <v>0</v>
      </c>
    </row>
    <row r="159" spans="1:9" s="2" customFormat="1" x14ac:dyDescent="0.5">
      <c r="A159" s="1"/>
      <c r="B159" s="1"/>
      <c r="C159" s="1"/>
      <c r="D159" s="3"/>
      <c r="F159" s="1"/>
      <c r="H159" s="66"/>
    </row>
    <row r="160" spans="1:9" s="2" customFormat="1" x14ac:dyDescent="0.5">
      <c r="A160" s="1"/>
      <c r="B160" s="1"/>
      <c r="C160" s="1"/>
      <c r="D160" s="57">
        <f>D158-E158</f>
        <v>0</v>
      </c>
      <c r="E160" s="59">
        <f>SUM(E6:E157)-E14-E17-E21-E22-E33-E34-E35-E42-E44-E67-E75-E82-E85-E86-E96-E101-E142-E154</f>
        <v>7813347.2400000002</v>
      </c>
      <c r="F160" s="1"/>
      <c r="H160" s="66"/>
    </row>
    <row r="161" spans="1:8" s="2" customFormat="1" x14ac:dyDescent="0.5">
      <c r="A161" s="1"/>
      <c r="B161" s="1"/>
      <c r="C161" s="1"/>
      <c r="D161" s="58" t="s">
        <v>142</v>
      </c>
      <c r="E161" s="58" t="s">
        <v>143</v>
      </c>
      <c r="F161" s="1"/>
      <c r="H161" s="66"/>
    </row>
    <row r="162" spans="1:8" x14ac:dyDescent="0.5">
      <c r="E162" s="3"/>
    </row>
  </sheetData>
  <mergeCells count="24">
    <mergeCell ref="A84:C84"/>
    <mergeCell ref="C3:C4"/>
    <mergeCell ref="A5:C5"/>
    <mergeCell ref="A16:C16"/>
    <mergeCell ref="A31:C31"/>
    <mergeCell ref="A54:C54"/>
    <mergeCell ref="A61:C61"/>
    <mergeCell ref="A65:C65"/>
    <mergeCell ref="B70:C70"/>
    <mergeCell ref="A71:C71"/>
    <mergeCell ref="A77:C77"/>
    <mergeCell ref="B83:C83"/>
    <mergeCell ref="A158:C158"/>
    <mergeCell ref="A108:C108"/>
    <mergeCell ref="A112:C112"/>
    <mergeCell ref="A117:C117"/>
    <mergeCell ref="A124:C124"/>
    <mergeCell ref="A129:C129"/>
    <mergeCell ref="A134:C134"/>
    <mergeCell ref="A141:C141"/>
    <mergeCell ref="A145:C145"/>
    <mergeCell ref="A149:C149"/>
    <mergeCell ref="A152:C152"/>
    <mergeCell ref="A156:C156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5860-4591-493B-BD9C-D8BA63E7DBDE}">
  <dimension ref="A1:L162"/>
  <sheetViews>
    <sheetView zoomScale="80" zoomScaleNormal="80" zoomScaleSheetLayoutView="80" workbookViewId="0">
      <pane ySplit="4" topLeftCell="A82" activePane="bottomLeft" state="frozen"/>
      <selection activeCell="A3" sqref="A3"/>
      <selection pane="bottomLeft" activeCell="D159" sqref="D159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173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>
        <v>172018</v>
      </c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>
        <v>406620</v>
      </c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>
        <v>16418</v>
      </c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>
        <v>73280</v>
      </c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2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2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2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  <c r="L19" s="116"/>
    </row>
    <row r="20" spans="1:12" s="38" customFormat="1" x14ac:dyDescent="0.5">
      <c r="A20" s="81">
        <v>101593</v>
      </c>
      <c r="B20" s="7" t="s">
        <v>20</v>
      </c>
      <c r="C20" s="7" t="s">
        <v>24</v>
      </c>
      <c r="D20" s="14"/>
      <c r="E20" s="5">
        <v>306767</v>
      </c>
      <c r="F20" s="37"/>
      <c r="H20" s="62">
        <f>E20-D32</f>
        <v>0</v>
      </c>
      <c r="J20" s="118"/>
      <c r="K20" s="118"/>
    </row>
    <row r="21" spans="1:12" x14ac:dyDescent="0.5">
      <c r="A21" s="21">
        <v>101593</v>
      </c>
      <c r="B21" s="7" t="s">
        <v>20</v>
      </c>
      <c r="C21" s="7" t="s">
        <v>25</v>
      </c>
      <c r="D21" s="14"/>
      <c r="E21" s="5">
        <v>80000</v>
      </c>
      <c r="F21" s="7"/>
      <c r="H21" s="62">
        <f>E21-D25</f>
        <v>0</v>
      </c>
      <c r="K21" s="116"/>
    </row>
    <row r="22" spans="1:12" x14ac:dyDescent="0.5">
      <c r="A22" s="21">
        <v>101593</v>
      </c>
      <c r="B22" s="7" t="s">
        <v>20</v>
      </c>
      <c r="C22" s="7" t="s">
        <v>26</v>
      </c>
      <c r="D22" s="14"/>
      <c r="E22" s="5">
        <v>33043</v>
      </c>
      <c r="F22" s="7"/>
      <c r="H22" s="62">
        <f>E22-D26</f>
        <v>0</v>
      </c>
    </row>
    <row r="23" spans="1:12" x14ac:dyDescent="0.5">
      <c r="A23" s="21">
        <v>101593</v>
      </c>
      <c r="B23" s="7" t="s">
        <v>20</v>
      </c>
      <c r="C23" s="68" t="s">
        <v>27</v>
      </c>
      <c r="D23" s="6">
        <v>40839</v>
      </c>
      <c r="E23" s="5"/>
      <c r="F23" s="7">
        <v>100711</v>
      </c>
      <c r="H23" s="63">
        <f>E38-D23</f>
        <v>0</v>
      </c>
    </row>
    <row r="24" spans="1:12" x14ac:dyDescent="0.5">
      <c r="A24" s="21">
        <v>101593</v>
      </c>
      <c r="B24" s="7" t="s">
        <v>20</v>
      </c>
      <c r="C24" s="7" t="s">
        <v>28</v>
      </c>
      <c r="D24" s="6"/>
      <c r="E24" s="5">
        <v>190713</v>
      </c>
      <c r="F24" s="7"/>
      <c r="H24" s="62">
        <f>E24-D59</f>
        <v>0</v>
      </c>
    </row>
    <row r="25" spans="1:12" x14ac:dyDescent="0.5">
      <c r="A25" s="20">
        <v>100703</v>
      </c>
      <c r="B25" s="7" t="s">
        <v>29</v>
      </c>
      <c r="C25" s="68" t="s">
        <v>30</v>
      </c>
      <c r="D25" s="6">
        <v>80000</v>
      </c>
      <c r="E25" s="5"/>
      <c r="F25" s="7">
        <v>101593</v>
      </c>
      <c r="H25" s="62">
        <f>D25-E21</f>
        <v>0</v>
      </c>
    </row>
    <row r="26" spans="1:12" x14ac:dyDescent="0.5">
      <c r="A26" s="21">
        <v>100702</v>
      </c>
      <c r="B26" s="7" t="s">
        <v>31</v>
      </c>
      <c r="C26" s="68" t="s">
        <v>30</v>
      </c>
      <c r="D26" s="6">
        <v>33043</v>
      </c>
      <c r="E26" s="5"/>
      <c r="F26" s="7">
        <v>101593</v>
      </c>
      <c r="H26" s="62">
        <f>D26-E22</f>
        <v>0</v>
      </c>
    </row>
    <row r="27" spans="1:12" x14ac:dyDescent="0.5">
      <c r="A27" s="21">
        <v>101593</v>
      </c>
      <c r="B27" s="7" t="s">
        <v>20</v>
      </c>
      <c r="C27" s="68" t="s">
        <v>42</v>
      </c>
      <c r="D27" s="6">
        <v>18</v>
      </c>
      <c r="E27" s="5"/>
      <c r="F27" s="67"/>
      <c r="H27" s="62">
        <f>D27-E48</f>
        <v>0</v>
      </c>
      <c r="I27" s="1" t="s">
        <v>160</v>
      </c>
    </row>
    <row r="28" spans="1:12" x14ac:dyDescent="0.5">
      <c r="A28" s="81">
        <v>101593</v>
      </c>
      <c r="B28" s="7" t="s">
        <v>166</v>
      </c>
      <c r="C28" s="7" t="s">
        <v>24</v>
      </c>
      <c r="D28" s="14"/>
      <c r="E28" s="5">
        <v>567900</v>
      </c>
      <c r="F28" s="67"/>
      <c r="H28" s="62">
        <f>E28-D52</f>
        <v>0</v>
      </c>
      <c r="I28" s="84" t="s">
        <v>161</v>
      </c>
    </row>
    <row r="29" spans="1:12" x14ac:dyDescent="0.5">
      <c r="A29" s="81">
        <v>101593</v>
      </c>
      <c r="B29" s="7" t="s">
        <v>20</v>
      </c>
      <c r="C29" s="7" t="s">
        <v>44</v>
      </c>
      <c r="D29" s="6"/>
      <c r="E29" s="5">
        <v>59367</v>
      </c>
      <c r="F29" s="7"/>
      <c r="H29" s="62">
        <f>E29-D53</f>
        <v>0</v>
      </c>
      <c r="I29" s="84" t="s">
        <v>167</v>
      </c>
    </row>
    <row r="30" spans="1:12" x14ac:dyDescent="0.5">
      <c r="A30" s="21">
        <v>101593</v>
      </c>
      <c r="B30" s="7" t="s">
        <v>20</v>
      </c>
      <c r="C30" s="68" t="s">
        <v>169</v>
      </c>
      <c r="D30" s="6">
        <v>38365</v>
      </c>
      <c r="E30" s="5"/>
      <c r="F30" s="67"/>
      <c r="H30" s="62">
        <f>D30-E60</f>
        <v>0</v>
      </c>
      <c r="I30" s="120" t="s">
        <v>170</v>
      </c>
    </row>
    <row r="31" spans="1:12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2" s="38" customFormat="1" x14ac:dyDescent="0.5">
      <c r="A32" s="90">
        <v>101594</v>
      </c>
      <c r="B32" s="87" t="s">
        <v>33</v>
      </c>
      <c r="C32" s="88" t="s">
        <v>30</v>
      </c>
      <c r="D32" s="54">
        <v>306767</v>
      </c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>
        <v>206862</v>
      </c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>
        <v>26213</v>
      </c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>
        <v>16418</v>
      </c>
      <c r="F37" s="87"/>
      <c r="H37" s="62">
        <f>E37-D10</f>
        <v>0</v>
      </c>
      <c r="K37" s="116"/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>
        <v>40839</v>
      </c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>
        <v>206862</v>
      </c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>
        <v>119251</v>
      </c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>
        <v>119251</v>
      </c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>
        <v>26213</v>
      </c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>
        <v>18</v>
      </c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>
        <v>73280</v>
      </c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>
        <v>207233</v>
      </c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>
        <v>207233</v>
      </c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>
        <v>567900</v>
      </c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>
        <v>59367</v>
      </c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>
        <v>237324</v>
      </c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>
        <v>172018</v>
      </c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>
        <v>406620</v>
      </c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>
        <v>190713</v>
      </c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>
        <v>38365</v>
      </c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>
        <v>1226745</v>
      </c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>
        <v>237324</v>
      </c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>
        <v>1226745</v>
      </c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>
        <v>142460</v>
      </c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>
        <v>186000</v>
      </c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>
        <v>8568</v>
      </c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>
        <v>6734</v>
      </c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>
        <v>3307</v>
      </c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>
        <v>40099</v>
      </c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>
        <v>54841</v>
      </c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>
        <v>3307</v>
      </c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>
        <v>8568</v>
      </c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>
        <v>150000</v>
      </c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>
        <v>40099</v>
      </c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>
        <v>1560692</v>
      </c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>
        <v>6734</v>
      </c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>
        <v>150000</v>
      </c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>
        <v>54841</v>
      </c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>
        <v>42157</v>
      </c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>
        <v>42157</v>
      </c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>
        <v>1256787</v>
      </c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>
        <v>1256787</v>
      </c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>
        <v>440463</v>
      </c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>
        <v>440463</v>
      </c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>
        <v>32533.3</v>
      </c>
      <c r="E109" s="5"/>
      <c r="F109" s="7">
        <v>100826</v>
      </c>
      <c r="H109" s="64">
        <f>D109-E155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>
        <v>1560692</v>
      </c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>
        <v>11363</v>
      </c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>
        <v>54787</v>
      </c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>
        <v>41177</v>
      </c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>
        <v>41177</v>
      </c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>
        <v>142460</v>
      </c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>
        <v>186000</v>
      </c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>
        <v>465000</v>
      </c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>
        <v>465000</v>
      </c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>
        <v>54787</v>
      </c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>
        <v>11363</v>
      </c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>
        <v>85728</v>
      </c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9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9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9" s="2" customFormat="1" x14ac:dyDescent="0.5">
      <c r="A131" s="19">
        <v>101605</v>
      </c>
      <c r="B131" s="7" t="s">
        <v>109</v>
      </c>
      <c r="C131" s="7" t="s">
        <v>111</v>
      </c>
      <c r="D131" s="6"/>
      <c r="E131" s="5">
        <v>88540</v>
      </c>
      <c r="F131" s="7"/>
      <c r="H131" s="64">
        <f>E131-D135</f>
        <v>0</v>
      </c>
    </row>
    <row r="132" spans="1:9" s="2" customFormat="1" x14ac:dyDescent="0.5">
      <c r="A132" s="19">
        <v>101605</v>
      </c>
      <c r="B132" s="7" t="s">
        <v>109</v>
      </c>
      <c r="C132" s="68" t="s">
        <v>98</v>
      </c>
      <c r="D132" s="6">
        <v>85728</v>
      </c>
      <c r="E132" s="5"/>
      <c r="F132" s="7">
        <v>101604</v>
      </c>
      <c r="H132" s="64">
        <f>D132-E127</f>
        <v>0</v>
      </c>
    </row>
    <row r="133" spans="1:9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9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9" s="2" customFormat="1" x14ac:dyDescent="0.5">
      <c r="A135" s="34">
        <v>101606</v>
      </c>
      <c r="B135" s="7" t="s">
        <v>113</v>
      </c>
      <c r="C135" s="68" t="s">
        <v>114</v>
      </c>
      <c r="D135" s="6">
        <v>88540</v>
      </c>
      <c r="E135" s="5"/>
      <c r="F135" s="7">
        <v>101605</v>
      </c>
      <c r="H135" s="64">
        <f>D135-E131</f>
        <v>0</v>
      </c>
    </row>
    <row r="136" spans="1:9" s="2" customFormat="1" x14ac:dyDescent="0.5">
      <c r="A136" s="34">
        <v>101606</v>
      </c>
      <c r="B136" s="56" t="s">
        <v>113</v>
      </c>
      <c r="C136" s="68" t="s">
        <v>115</v>
      </c>
      <c r="D136" s="11">
        <v>236359.53</v>
      </c>
      <c r="E136" s="46"/>
      <c r="F136" s="7">
        <v>100800</v>
      </c>
      <c r="H136" s="64">
        <f>D136-E139</f>
        <v>0</v>
      </c>
    </row>
    <row r="137" spans="1:9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9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9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>
        <v>236359.53</v>
      </c>
      <c r="F139" s="7"/>
      <c r="H139" s="64">
        <f>E139-D136</f>
        <v>0</v>
      </c>
    </row>
    <row r="140" spans="1:9" s="2" customFormat="1" x14ac:dyDescent="0.5">
      <c r="A140" s="21"/>
      <c r="B140" s="7" t="s">
        <v>183</v>
      </c>
      <c r="C140" s="68" t="s">
        <v>184</v>
      </c>
      <c r="D140" s="11">
        <v>8398</v>
      </c>
      <c r="E140" s="46"/>
      <c r="F140" s="7"/>
      <c r="H140" s="64">
        <f>D140-E157</f>
        <v>0</v>
      </c>
      <c r="I140" s="83" t="s">
        <v>188</v>
      </c>
    </row>
    <row r="141" spans="1:9" s="2" customFormat="1" x14ac:dyDescent="0.5">
      <c r="A141" s="121" t="s">
        <v>120</v>
      </c>
      <c r="B141" s="122"/>
      <c r="C141" s="123"/>
      <c r="D141" s="8"/>
      <c r="E141" s="8"/>
      <c r="F141" s="7"/>
      <c r="H141" s="60"/>
    </row>
    <row r="142" spans="1:9" s="2" customFormat="1" x14ac:dyDescent="0.5">
      <c r="A142" s="21">
        <v>101609</v>
      </c>
      <c r="B142" s="7" t="s">
        <v>121</v>
      </c>
      <c r="C142" s="7" t="s">
        <v>122</v>
      </c>
      <c r="D142" s="6"/>
      <c r="E142" s="5">
        <v>24589</v>
      </c>
      <c r="F142" s="7"/>
      <c r="H142" s="64">
        <f>E142-D144</f>
        <v>0</v>
      </c>
    </row>
    <row r="143" spans="1:9" s="2" customFormat="1" x14ac:dyDescent="0.5">
      <c r="A143" s="21">
        <v>101609</v>
      </c>
      <c r="B143" s="7" t="s">
        <v>121</v>
      </c>
      <c r="C143" s="68" t="s">
        <v>123</v>
      </c>
      <c r="D143" s="6">
        <v>27094</v>
      </c>
      <c r="E143" s="5"/>
      <c r="F143" s="7">
        <v>101610</v>
      </c>
      <c r="H143" s="64">
        <f>D143-E147</f>
        <v>0</v>
      </c>
    </row>
    <row r="144" spans="1:9" s="2" customFormat="1" x14ac:dyDescent="0.5">
      <c r="A144" s="21"/>
      <c r="B144" s="7" t="s">
        <v>124</v>
      </c>
      <c r="C144" s="68" t="s">
        <v>125</v>
      </c>
      <c r="D144" s="6">
        <v>24589</v>
      </c>
      <c r="E144" s="5"/>
      <c r="F144" s="7">
        <v>101609</v>
      </c>
      <c r="H144" s="64">
        <f>D144-E142</f>
        <v>0</v>
      </c>
    </row>
    <row r="145" spans="1:9" s="2" customFormat="1" x14ac:dyDescent="0.5">
      <c r="A145" s="124" t="s">
        <v>126</v>
      </c>
      <c r="B145" s="125"/>
      <c r="C145" s="126"/>
      <c r="D145" s="8"/>
      <c r="E145" s="48"/>
      <c r="F145" s="7"/>
      <c r="H145" s="60"/>
    </row>
    <row r="146" spans="1:9" s="2" customFormat="1" x14ac:dyDescent="0.5">
      <c r="A146" s="10">
        <v>101610</v>
      </c>
      <c r="B146" s="10" t="s">
        <v>127</v>
      </c>
      <c r="C146" s="10" t="s">
        <v>128</v>
      </c>
      <c r="D146" s="9"/>
      <c r="E146" s="5"/>
      <c r="F146" s="7"/>
      <c r="H146" s="64">
        <f>E146-D150</f>
        <v>0</v>
      </c>
    </row>
    <row r="147" spans="1:9" s="2" customFormat="1" x14ac:dyDescent="0.5">
      <c r="A147" s="10">
        <v>101610</v>
      </c>
      <c r="B147" s="10" t="s">
        <v>127</v>
      </c>
      <c r="C147" s="10" t="s">
        <v>129</v>
      </c>
      <c r="D147" s="9"/>
      <c r="E147" s="5">
        <v>27094</v>
      </c>
      <c r="F147" s="7"/>
      <c r="H147" s="65">
        <f>E147-D143</f>
        <v>0</v>
      </c>
    </row>
    <row r="148" spans="1:9" s="2" customFormat="1" x14ac:dyDescent="0.5">
      <c r="A148" s="10">
        <v>101610</v>
      </c>
      <c r="B148" s="10" t="s">
        <v>127</v>
      </c>
      <c r="C148" s="72" t="s">
        <v>130</v>
      </c>
      <c r="D148" s="9">
        <v>117232</v>
      </c>
      <c r="E148" s="5"/>
      <c r="F148" s="7">
        <v>101611</v>
      </c>
      <c r="H148" s="64">
        <f>D148-E151</f>
        <v>0</v>
      </c>
    </row>
    <row r="149" spans="1:9" s="2" customFormat="1" x14ac:dyDescent="0.5">
      <c r="A149" s="142" t="s">
        <v>131</v>
      </c>
      <c r="B149" s="142"/>
      <c r="C149" s="142"/>
      <c r="D149" s="16"/>
      <c r="E149" s="8"/>
      <c r="F149" s="7"/>
      <c r="H149" s="60"/>
    </row>
    <row r="150" spans="1:9" s="35" customFormat="1" x14ac:dyDescent="0.5">
      <c r="A150" s="10">
        <v>101611</v>
      </c>
      <c r="B150" s="10" t="s">
        <v>132</v>
      </c>
      <c r="C150" s="72" t="s">
        <v>133</v>
      </c>
      <c r="D150" s="9"/>
      <c r="E150" s="5"/>
      <c r="F150" s="7">
        <v>101610</v>
      </c>
      <c r="H150" s="64">
        <f>D150-E146</f>
        <v>0</v>
      </c>
    </row>
    <row r="151" spans="1:9" s="35" customFormat="1" x14ac:dyDescent="0.5">
      <c r="A151" s="10">
        <v>101611</v>
      </c>
      <c r="B151" s="10" t="s">
        <v>132</v>
      </c>
      <c r="C151" s="10" t="s">
        <v>134</v>
      </c>
      <c r="D151" s="9"/>
      <c r="E151" s="5">
        <v>117232</v>
      </c>
      <c r="F151" s="7"/>
      <c r="H151" s="64">
        <f>E151-D148</f>
        <v>0</v>
      </c>
    </row>
    <row r="152" spans="1:9" s="2" customFormat="1" x14ac:dyDescent="0.5">
      <c r="A152" s="142" t="s">
        <v>135</v>
      </c>
      <c r="B152" s="142"/>
      <c r="C152" s="142"/>
      <c r="D152" s="16"/>
      <c r="E152" s="8"/>
      <c r="F152" s="7"/>
      <c r="H152" s="60"/>
    </row>
    <row r="153" spans="1:9" s="2" customFormat="1" x14ac:dyDescent="0.5">
      <c r="A153" s="10">
        <v>100825</v>
      </c>
      <c r="B153" s="10" t="s">
        <v>136</v>
      </c>
      <c r="C153" s="72" t="s">
        <v>137</v>
      </c>
      <c r="D153" s="9">
        <v>34220</v>
      </c>
      <c r="E153" s="5"/>
      <c r="F153" s="7">
        <v>100826</v>
      </c>
      <c r="H153" s="64">
        <f>D153-E154</f>
        <v>0</v>
      </c>
    </row>
    <row r="154" spans="1:9" s="2" customFormat="1" x14ac:dyDescent="0.5">
      <c r="A154" s="10">
        <v>100826</v>
      </c>
      <c r="B154" s="10" t="s">
        <v>138</v>
      </c>
      <c r="C154" s="10" t="s">
        <v>139</v>
      </c>
      <c r="D154" s="9"/>
      <c r="E154" s="5">
        <v>34220</v>
      </c>
      <c r="F154" s="7"/>
      <c r="H154" s="64">
        <f>E154-D153</f>
        <v>0</v>
      </c>
    </row>
    <row r="155" spans="1:9" s="2" customFormat="1" x14ac:dyDescent="0.5">
      <c r="A155" s="10">
        <v>100826</v>
      </c>
      <c r="B155" s="10" t="s">
        <v>138</v>
      </c>
      <c r="C155" s="10" t="s">
        <v>140</v>
      </c>
      <c r="D155" s="99"/>
      <c r="E155" s="5">
        <v>32533.3</v>
      </c>
      <c r="F155" s="7"/>
      <c r="H155" s="64">
        <f>E155-D109</f>
        <v>0</v>
      </c>
    </row>
    <row r="156" spans="1:9" s="2" customFormat="1" x14ac:dyDescent="0.5">
      <c r="A156" s="124" t="s">
        <v>185</v>
      </c>
      <c r="B156" s="125"/>
      <c r="C156" s="126"/>
      <c r="D156" s="8"/>
      <c r="E156" s="48"/>
      <c r="F156" s="7"/>
      <c r="H156" s="60"/>
    </row>
    <row r="157" spans="1:9" s="2" customFormat="1" x14ac:dyDescent="0.5">
      <c r="A157" s="10"/>
      <c r="B157" s="10" t="s">
        <v>186</v>
      </c>
      <c r="C157" s="10" t="s">
        <v>187</v>
      </c>
      <c r="D157" s="9"/>
      <c r="E157" s="5">
        <v>8398</v>
      </c>
      <c r="F157" s="7"/>
      <c r="H157" s="64">
        <f>E157-D140</f>
        <v>0</v>
      </c>
      <c r="I157" s="83" t="s">
        <v>188</v>
      </c>
    </row>
    <row r="158" spans="1:9" s="2" customFormat="1" ht="24" thickBot="1" x14ac:dyDescent="0.55000000000000004">
      <c r="A158" s="143" t="s">
        <v>141</v>
      </c>
      <c r="B158" s="144"/>
      <c r="C158" s="145"/>
      <c r="D158" s="52">
        <f>SUM(D5:D157)</f>
        <v>9128104.8300000001</v>
      </c>
      <c r="E158" s="52">
        <f>SUM(E5:E157)</f>
        <v>9128104.8300000001</v>
      </c>
      <c r="F158" s="79"/>
      <c r="H158" s="64">
        <f>SUM(H6:H155)</f>
        <v>0</v>
      </c>
    </row>
    <row r="159" spans="1:9" s="2" customFormat="1" x14ac:dyDescent="0.5">
      <c r="A159" s="1"/>
      <c r="B159" s="1"/>
      <c r="C159" s="1"/>
      <c r="D159" s="3"/>
      <c r="F159" s="1"/>
      <c r="H159" s="66"/>
    </row>
    <row r="160" spans="1:9" s="2" customFormat="1" x14ac:dyDescent="0.5">
      <c r="A160" s="1"/>
      <c r="B160" s="1"/>
      <c r="C160" s="1"/>
      <c r="D160" s="57">
        <f>D158-E158</f>
        <v>0</v>
      </c>
      <c r="E160" s="59">
        <f>SUM(E6:E157)-E14-E17-E21-E22-E33-E34-E35-E42-E44-E67-E75-E82-E85-E86-E96-E101-E142-E154</f>
        <v>8355679.8300000001</v>
      </c>
      <c r="F160" s="1"/>
      <c r="H160" s="66"/>
    </row>
    <row r="161" spans="1:8" s="2" customFormat="1" x14ac:dyDescent="0.5">
      <c r="A161" s="1"/>
      <c r="B161" s="1"/>
      <c r="C161" s="1"/>
      <c r="D161" s="58" t="s">
        <v>142</v>
      </c>
      <c r="E161" s="58" t="s">
        <v>143</v>
      </c>
      <c r="F161" s="1"/>
      <c r="H161" s="66"/>
    </row>
    <row r="162" spans="1:8" x14ac:dyDescent="0.5">
      <c r="E162" s="3"/>
    </row>
  </sheetData>
  <mergeCells count="24">
    <mergeCell ref="A158:C158"/>
    <mergeCell ref="A108:C108"/>
    <mergeCell ref="A112:C112"/>
    <mergeCell ref="A117:C117"/>
    <mergeCell ref="A124:C124"/>
    <mergeCell ref="A129:C129"/>
    <mergeCell ref="A134:C134"/>
    <mergeCell ref="A141:C141"/>
    <mergeCell ref="A145:C145"/>
    <mergeCell ref="A149:C149"/>
    <mergeCell ref="A152:C152"/>
    <mergeCell ref="A156:C156"/>
    <mergeCell ref="A84:C84"/>
    <mergeCell ref="C3:C4"/>
    <mergeCell ref="A5:C5"/>
    <mergeCell ref="A16:C16"/>
    <mergeCell ref="A31:C31"/>
    <mergeCell ref="A54:C54"/>
    <mergeCell ref="A61:C61"/>
    <mergeCell ref="A65:C65"/>
    <mergeCell ref="B70:C70"/>
    <mergeCell ref="A71:C71"/>
    <mergeCell ref="A77:C77"/>
    <mergeCell ref="B83:C83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7D90-4AC1-464E-99E6-FE9393F61C5F}">
  <dimension ref="A1:L162"/>
  <sheetViews>
    <sheetView tabSelected="1" zoomScale="80" zoomScaleNormal="80" zoomScaleSheetLayoutView="80" workbookViewId="0">
      <pane ySplit="4" topLeftCell="A5" activePane="bottomLeft" state="frozen"/>
      <selection activeCell="A3" sqref="A3"/>
      <selection pane="bottomLeft" activeCell="I9" sqref="I9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174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>
        <v>170603</v>
      </c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>
        <v>423705</v>
      </c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>
        <v>26694</v>
      </c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>
        <v>76699</v>
      </c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2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2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2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  <c r="L19" s="116"/>
    </row>
    <row r="20" spans="1:12" s="38" customFormat="1" x14ac:dyDescent="0.5">
      <c r="A20" s="81">
        <v>101593</v>
      </c>
      <c r="B20" s="7" t="s">
        <v>20</v>
      </c>
      <c r="C20" s="7" t="s">
        <v>24</v>
      </c>
      <c r="D20" s="14"/>
      <c r="E20" s="5">
        <v>284173</v>
      </c>
      <c r="F20" s="37"/>
      <c r="H20" s="62">
        <f>E20-D32</f>
        <v>0</v>
      </c>
      <c r="J20" s="118"/>
      <c r="K20" s="118"/>
    </row>
    <row r="21" spans="1:12" x14ac:dyDescent="0.5">
      <c r="A21" s="21">
        <v>101593</v>
      </c>
      <c r="B21" s="7" t="s">
        <v>20</v>
      </c>
      <c r="C21" s="7" t="s">
        <v>25</v>
      </c>
      <c r="D21" s="14"/>
      <c r="E21" s="5">
        <v>80000</v>
      </c>
      <c r="F21" s="7"/>
      <c r="H21" s="62">
        <f>E21-D25</f>
        <v>0</v>
      </c>
      <c r="K21" s="116"/>
    </row>
    <row r="22" spans="1:12" x14ac:dyDescent="0.5">
      <c r="A22" s="21">
        <v>101593</v>
      </c>
      <c r="B22" s="7" t="s">
        <v>20</v>
      </c>
      <c r="C22" s="7" t="s">
        <v>26</v>
      </c>
      <c r="D22" s="14"/>
      <c r="E22" s="5">
        <v>20442</v>
      </c>
      <c r="F22" s="7"/>
      <c r="H22" s="62">
        <f>E22-D26</f>
        <v>0</v>
      </c>
    </row>
    <row r="23" spans="1:12" x14ac:dyDescent="0.5">
      <c r="A23" s="21">
        <v>101593</v>
      </c>
      <c r="B23" s="7" t="s">
        <v>20</v>
      </c>
      <c r="C23" s="68" t="s">
        <v>27</v>
      </c>
      <c r="D23" s="6">
        <v>53269</v>
      </c>
      <c r="E23" s="5"/>
      <c r="F23" s="7">
        <v>100711</v>
      </c>
      <c r="H23" s="63">
        <f>E38-D23</f>
        <v>0</v>
      </c>
    </row>
    <row r="24" spans="1:12" x14ac:dyDescent="0.5">
      <c r="A24" s="21">
        <v>101593</v>
      </c>
      <c r="B24" s="7" t="s">
        <v>20</v>
      </c>
      <c r="C24" s="7" t="s">
        <v>28</v>
      </c>
      <c r="D24" s="6"/>
      <c r="E24" s="5">
        <v>200276</v>
      </c>
      <c r="F24" s="7"/>
      <c r="H24" s="62">
        <f>E24-D59</f>
        <v>0</v>
      </c>
    </row>
    <row r="25" spans="1:12" x14ac:dyDescent="0.5">
      <c r="A25" s="20">
        <v>100703</v>
      </c>
      <c r="B25" s="7" t="s">
        <v>29</v>
      </c>
      <c r="C25" s="68" t="s">
        <v>30</v>
      </c>
      <c r="D25" s="6">
        <v>80000</v>
      </c>
      <c r="E25" s="5"/>
      <c r="F25" s="7">
        <v>101593</v>
      </c>
      <c r="H25" s="62">
        <f>D25-E21</f>
        <v>0</v>
      </c>
    </row>
    <row r="26" spans="1:12" x14ac:dyDescent="0.5">
      <c r="A26" s="21">
        <v>100702</v>
      </c>
      <c r="B26" s="7" t="s">
        <v>31</v>
      </c>
      <c r="C26" s="68" t="s">
        <v>30</v>
      </c>
      <c r="D26" s="6">
        <v>20442</v>
      </c>
      <c r="E26" s="5"/>
      <c r="F26" s="7">
        <v>101593</v>
      </c>
      <c r="H26" s="62">
        <f>D26-E22</f>
        <v>0</v>
      </c>
    </row>
    <row r="27" spans="1:12" x14ac:dyDescent="0.5">
      <c r="A27" s="21">
        <v>101593</v>
      </c>
      <c r="B27" s="7" t="s">
        <v>20</v>
      </c>
      <c r="C27" s="68" t="s">
        <v>42</v>
      </c>
      <c r="D27" s="6">
        <v>10</v>
      </c>
      <c r="E27" s="5"/>
      <c r="F27" s="67"/>
      <c r="H27" s="62">
        <f>D27-E48</f>
        <v>0</v>
      </c>
      <c r="I27" s="1" t="s">
        <v>160</v>
      </c>
    </row>
    <row r="28" spans="1:12" x14ac:dyDescent="0.5">
      <c r="A28" s="81">
        <v>101593</v>
      </c>
      <c r="B28" s="7" t="s">
        <v>166</v>
      </c>
      <c r="C28" s="7" t="s">
        <v>24</v>
      </c>
      <c r="D28" s="14"/>
      <c r="E28" s="5">
        <v>744027</v>
      </c>
      <c r="F28" s="67"/>
      <c r="H28" s="62">
        <f>E28-D52</f>
        <v>0</v>
      </c>
      <c r="I28" s="84" t="s">
        <v>161</v>
      </c>
    </row>
    <row r="29" spans="1:12" x14ac:dyDescent="0.5">
      <c r="A29" s="81">
        <v>101593</v>
      </c>
      <c r="B29" s="7" t="s">
        <v>20</v>
      </c>
      <c r="C29" s="7" t="s">
        <v>44</v>
      </c>
      <c r="D29" s="6"/>
      <c r="E29" s="5">
        <v>32429</v>
      </c>
      <c r="F29" s="7"/>
      <c r="H29" s="62">
        <f>E29-D53</f>
        <v>0</v>
      </c>
      <c r="I29" s="84" t="s">
        <v>167</v>
      </c>
    </row>
    <row r="30" spans="1:12" x14ac:dyDescent="0.5">
      <c r="A30" s="21">
        <v>101593</v>
      </c>
      <c r="B30" s="7" t="s">
        <v>20</v>
      </c>
      <c r="C30" s="68" t="s">
        <v>169</v>
      </c>
      <c r="D30" s="6">
        <v>29822</v>
      </c>
      <c r="E30" s="5"/>
      <c r="F30" s="67"/>
      <c r="H30" s="62">
        <f>D30-E60</f>
        <v>0</v>
      </c>
      <c r="I30" s="120" t="s">
        <v>170</v>
      </c>
    </row>
    <row r="31" spans="1:12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2" s="38" customFormat="1" x14ac:dyDescent="0.5">
      <c r="A32" s="90">
        <v>101594</v>
      </c>
      <c r="B32" s="87" t="s">
        <v>33</v>
      </c>
      <c r="C32" s="88" t="s">
        <v>30</v>
      </c>
      <c r="D32" s="54">
        <v>284173</v>
      </c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>
        <v>80106</v>
      </c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  <c r="K34" s="116"/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>
        <v>26583</v>
      </c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>
        <v>26694</v>
      </c>
      <c r="F37" s="87"/>
      <c r="H37" s="62">
        <f>E37-D10</f>
        <v>0</v>
      </c>
      <c r="K37" s="116"/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>
        <v>53269</v>
      </c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>
        <v>80106</v>
      </c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>
        <v>120093</v>
      </c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>
        <v>120093</v>
      </c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>
        <v>26583</v>
      </c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>
        <v>10</v>
      </c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>
        <v>76699</v>
      </c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>
        <v>242423</v>
      </c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>
        <v>242423</v>
      </c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>
        <v>744027</v>
      </c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>
        <v>32429</v>
      </c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>
        <v>222374.82</v>
      </c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>
        <v>170603</v>
      </c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>
        <v>423705</v>
      </c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>
        <v>200276</v>
      </c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>
        <v>29822</v>
      </c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>
        <v>1196254</v>
      </c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>
        <v>222374.82</v>
      </c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>
        <v>1196254</v>
      </c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>
        <v>115054</v>
      </c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>
        <v>186000</v>
      </c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>
        <v>8065</v>
      </c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>
        <v>5991</v>
      </c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>
        <v>1776</v>
      </c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>
        <v>48255</v>
      </c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>
        <v>47446</v>
      </c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>
        <v>1776</v>
      </c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>
        <v>8065</v>
      </c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>
        <v>155000</v>
      </c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>
        <v>48255</v>
      </c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>
        <v>1514495</v>
      </c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>
        <v>5991</v>
      </c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>
        <v>155000</v>
      </c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>
        <v>47446</v>
      </c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>
        <v>26541</v>
      </c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>
        <v>26541</v>
      </c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>
        <v>1284173</v>
      </c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>
        <v>1284173</v>
      </c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>
        <v>411554</v>
      </c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>
        <v>411554</v>
      </c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>
        <v>42569.4</v>
      </c>
      <c r="E109" s="5"/>
      <c r="F109" s="7">
        <v>100826</v>
      </c>
      <c r="H109" s="64">
        <f>D109-E155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>
        <v>1514495</v>
      </c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>
        <v>5495</v>
      </c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>
        <v>35777</v>
      </c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>
        <v>37433</v>
      </c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>
        <v>37433</v>
      </c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>
        <v>115054</v>
      </c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>
        <v>186000</v>
      </c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>
        <v>465000</v>
      </c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>
        <v>465000</v>
      </c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>
        <v>35777</v>
      </c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>
        <v>5495</v>
      </c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>
        <v>86958</v>
      </c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9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9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9" s="2" customFormat="1" x14ac:dyDescent="0.5">
      <c r="A131" s="19">
        <v>101605</v>
      </c>
      <c r="B131" s="7" t="s">
        <v>109</v>
      </c>
      <c r="C131" s="7" t="s">
        <v>111</v>
      </c>
      <c r="D131" s="6"/>
      <c r="E131" s="5">
        <v>87658</v>
      </c>
      <c r="F131" s="7"/>
      <c r="H131" s="64">
        <f>E131-D135</f>
        <v>0</v>
      </c>
    </row>
    <row r="132" spans="1:9" s="2" customFormat="1" x14ac:dyDescent="0.5">
      <c r="A132" s="19">
        <v>101605</v>
      </c>
      <c r="B132" s="7" t="s">
        <v>109</v>
      </c>
      <c r="C132" s="68" t="s">
        <v>98</v>
      </c>
      <c r="D132" s="6">
        <v>86958</v>
      </c>
      <c r="E132" s="5"/>
      <c r="F132" s="7">
        <v>101604</v>
      </c>
      <c r="H132" s="64">
        <f>D132-E127</f>
        <v>0</v>
      </c>
    </row>
    <row r="133" spans="1:9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9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9" s="2" customFormat="1" x14ac:dyDescent="0.5">
      <c r="A135" s="34">
        <v>101606</v>
      </c>
      <c r="B135" s="7" t="s">
        <v>113</v>
      </c>
      <c r="C135" s="68" t="s">
        <v>114</v>
      </c>
      <c r="D135" s="6">
        <v>87658</v>
      </c>
      <c r="E135" s="5"/>
      <c r="F135" s="7">
        <v>101605</v>
      </c>
      <c r="H135" s="64">
        <f>D135-E131</f>
        <v>0</v>
      </c>
    </row>
    <row r="136" spans="1:9" s="2" customFormat="1" x14ac:dyDescent="0.5">
      <c r="A136" s="34">
        <v>101606</v>
      </c>
      <c r="B136" s="56" t="s">
        <v>113</v>
      </c>
      <c r="C136" s="68" t="s">
        <v>115</v>
      </c>
      <c r="D136" s="11">
        <v>242713.21</v>
      </c>
      <c r="E136" s="46"/>
      <c r="F136" s="7">
        <v>100800</v>
      </c>
      <c r="H136" s="64">
        <f>D136-E139</f>
        <v>0</v>
      </c>
    </row>
    <row r="137" spans="1:9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9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9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>
        <v>242713.21</v>
      </c>
      <c r="F139" s="7"/>
      <c r="H139" s="64">
        <f>E139-D136</f>
        <v>0</v>
      </c>
    </row>
    <row r="140" spans="1:9" s="2" customFormat="1" x14ac:dyDescent="0.5">
      <c r="A140" s="21"/>
      <c r="B140" s="7" t="s">
        <v>183</v>
      </c>
      <c r="C140" s="68" t="s">
        <v>184</v>
      </c>
      <c r="D140" s="11">
        <v>30606</v>
      </c>
      <c r="E140" s="46"/>
      <c r="F140" s="7"/>
      <c r="H140" s="64">
        <f>D140-E157</f>
        <v>0</v>
      </c>
      <c r="I140" s="83" t="s">
        <v>188</v>
      </c>
    </row>
    <row r="141" spans="1:9" s="2" customFormat="1" x14ac:dyDescent="0.5">
      <c r="A141" s="121" t="s">
        <v>120</v>
      </c>
      <c r="B141" s="122"/>
      <c r="C141" s="123"/>
      <c r="D141" s="8"/>
      <c r="E141" s="8"/>
      <c r="F141" s="7"/>
      <c r="H141" s="60"/>
    </row>
    <row r="142" spans="1:9" s="2" customFormat="1" x14ac:dyDescent="0.5">
      <c r="A142" s="21">
        <v>101609</v>
      </c>
      <c r="B142" s="7" t="s">
        <v>121</v>
      </c>
      <c r="C142" s="7" t="s">
        <v>122</v>
      </c>
      <c r="D142" s="6"/>
      <c r="E142" s="5">
        <v>22733</v>
      </c>
      <c r="F142" s="7"/>
      <c r="H142" s="64">
        <f>E142-D144</f>
        <v>0</v>
      </c>
    </row>
    <row r="143" spans="1:9" s="2" customFormat="1" x14ac:dyDescent="0.5">
      <c r="A143" s="21">
        <v>101609</v>
      </c>
      <c r="B143" s="7" t="s">
        <v>121</v>
      </c>
      <c r="C143" s="68" t="s">
        <v>123</v>
      </c>
      <c r="D143" s="6">
        <v>29203</v>
      </c>
      <c r="E143" s="5"/>
      <c r="F143" s="7">
        <v>101610</v>
      </c>
      <c r="H143" s="64">
        <f>D143-E147</f>
        <v>0</v>
      </c>
    </row>
    <row r="144" spans="1:9" s="2" customFormat="1" x14ac:dyDescent="0.5">
      <c r="A144" s="21"/>
      <c r="B144" s="7" t="s">
        <v>124</v>
      </c>
      <c r="C144" s="68" t="s">
        <v>125</v>
      </c>
      <c r="D144" s="6">
        <v>22733</v>
      </c>
      <c r="E144" s="5"/>
      <c r="F144" s="7">
        <v>101609</v>
      </c>
      <c r="H144" s="64">
        <f>D144-E142</f>
        <v>0</v>
      </c>
    </row>
    <row r="145" spans="1:9" s="2" customFormat="1" x14ac:dyDescent="0.5">
      <c r="A145" s="124" t="s">
        <v>126</v>
      </c>
      <c r="B145" s="125"/>
      <c r="C145" s="126"/>
      <c r="D145" s="8"/>
      <c r="E145" s="48"/>
      <c r="F145" s="7"/>
      <c r="H145" s="60"/>
    </row>
    <row r="146" spans="1:9" s="2" customFormat="1" x14ac:dyDescent="0.5">
      <c r="A146" s="10">
        <v>101610</v>
      </c>
      <c r="B146" s="10" t="s">
        <v>127</v>
      </c>
      <c r="C146" s="10" t="s">
        <v>128</v>
      </c>
      <c r="D146" s="9"/>
      <c r="E146" s="5"/>
      <c r="F146" s="7"/>
      <c r="H146" s="64">
        <f>E146-D150</f>
        <v>0</v>
      </c>
    </row>
    <row r="147" spans="1:9" s="2" customFormat="1" x14ac:dyDescent="0.5">
      <c r="A147" s="10">
        <v>101610</v>
      </c>
      <c r="B147" s="10" t="s">
        <v>127</v>
      </c>
      <c r="C147" s="10" t="s">
        <v>129</v>
      </c>
      <c r="D147" s="9"/>
      <c r="E147" s="5">
        <v>29203</v>
      </c>
      <c r="F147" s="7"/>
      <c r="H147" s="65">
        <f>E147-D143</f>
        <v>0</v>
      </c>
    </row>
    <row r="148" spans="1:9" s="2" customFormat="1" x14ac:dyDescent="0.5">
      <c r="A148" s="10">
        <v>101610</v>
      </c>
      <c r="B148" s="10" t="s">
        <v>127</v>
      </c>
      <c r="C148" s="72" t="s">
        <v>130</v>
      </c>
      <c r="D148" s="9">
        <v>126455</v>
      </c>
      <c r="E148" s="5"/>
      <c r="F148" s="7">
        <v>101611</v>
      </c>
      <c r="H148" s="64">
        <f>D148-E151</f>
        <v>0</v>
      </c>
    </row>
    <row r="149" spans="1:9" s="2" customFormat="1" x14ac:dyDescent="0.5">
      <c r="A149" s="142" t="s">
        <v>131</v>
      </c>
      <c r="B149" s="142"/>
      <c r="C149" s="142"/>
      <c r="D149" s="16"/>
      <c r="E149" s="8"/>
      <c r="F149" s="7"/>
      <c r="H149" s="60"/>
    </row>
    <row r="150" spans="1:9" s="35" customFormat="1" x14ac:dyDescent="0.5">
      <c r="A150" s="10">
        <v>101611</v>
      </c>
      <c r="B150" s="10" t="s">
        <v>132</v>
      </c>
      <c r="C150" s="72" t="s">
        <v>133</v>
      </c>
      <c r="D150" s="9"/>
      <c r="E150" s="5"/>
      <c r="F150" s="7">
        <v>101610</v>
      </c>
      <c r="H150" s="64">
        <f>D150-E146</f>
        <v>0</v>
      </c>
    </row>
    <row r="151" spans="1:9" s="35" customFormat="1" x14ac:dyDescent="0.5">
      <c r="A151" s="10">
        <v>101611</v>
      </c>
      <c r="B151" s="10" t="s">
        <v>132</v>
      </c>
      <c r="C151" s="10" t="s">
        <v>134</v>
      </c>
      <c r="D151" s="9"/>
      <c r="E151" s="5">
        <v>126455</v>
      </c>
      <c r="F151" s="7"/>
      <c r="H151" s="64">
        <f>E151-D148</f>
        <v>0</v>
      </c>
    </row>
    <row r="152" spans="1:9" s="2" customFormat="1" x14ac:dyDescent="0.5">
      <c r="A152" s="142" t="s">
        <v>135</v>
      </c>
      <c r="B152" s="142"/>
      <c r="C152" s="142"/>
      <c r="D152" s="16"/>
      <c r="E152" s="8"/>
      <c r="F152" s="7"/>
      <c r="H152" s="60"/>
    </row>
    <row r="153" spans="1:9" s="2" customFormat="1" x14ac:dyDescent="0.5">
      <c r="A153" s="10">
        <v>100825</v>
      </c>
      <c r="B153" s="10" t="s">
        <v>136</v>
      </c>
      <c r="C153" s="72" t="s">
        <v>137</v>
      </c>
      <c r="D153" s="9">
        <v>34600</v>
      </c>
      <c r="E153" s="5"/>
      <c r="F153" s="7">
        <v>100826</v>
      </c>
      <c r="H153" s="64">
        <f>D153-E154</f>
        <v>0</v>
      </c>
    </row>
    <row r="154" spans="1:9" s="2" customFormat="1" x14ac:dyDescent="0.5">
      <c r="A154" s="10">
        <v>100826</v>
      </c>
      <c r="B154" s="10" t="s">
        <v>138</v>
      </c>
      <c r="C154" s="10" t="s">
        <v>139</v>
      </c>
      <c r="D154" s="9"/>
      <c r="E154" s="5">
        <v>34600</v>
      </c>
      <c r="F154" s="7"/>
      <c r="H154" s="64">
        <f>E154-D153</f>
        <v>0</v>
      </c>
    </row>
    <row r="155" spans="1:9" s="2" customFormat="1" x14ac:dyDescent="0.5">
      <c r="A155" s="10">
        <v>100826</v>
      </c>
      <c r="B155" s="10" t="s">
        <v>138</v>
      </c>
      <c r="C155" s="10" t="s">
        <v>140</v>
      </c>
      <c r="D155" s="99"/>
      <c r="E155" s="5">
        <v>42569.4</v>
      </c>
      <c r="F155" s="7"/>
      <c r="H155" s="64">
        <f>E155-D109</f>
        <v>0</v>
      </c>
    </row>
    <row r="156" spans="1:9" s="2" customFormat="1" x14ac:dyDescent="0.5">
      <c r="A156" s="124" t="s">
        <v>185</v>
      </c>
      <c r="B156" s="125"/>
      <c r="C156" s="126"/>
      <c r="D156" s="8"/>
      <c r="E156" s="48"/>
      <c r="F156" s="7"/>
      <c r="H156" s="60"/>
    </row>
    <row r="157" spans="1:9" s="2" customFormat="1" x14ac:dyDescent="0.5">
      <c r="A157" s="10"/>
      <c r="B157" s="10" t="s">
        <v>186</v>
      </c>
      <c r="C157" s="10" t="s">
        <v>187</v>
      </c>
      <c r="D157" s="9"/>
      <c r="E157" s="5">
        <v>30606</v>
      </c>
      <c r="F157" s="7"/>
      <c r="H157" s="64">
        <f>E157-D140</f>
        <v>0</v>
      </c>
      <c r="I157" s="83" t="s">
        <v>188</v>
      </c>
    </row>
    <row r="158" spans="1:9" s="2" customFormat="1" ht="24" thickBot="1" x14ac:dyDescent="0.55000000000000004">
      <c r="A158" s="143" t="s">
        <v>141</v>
      </c>
      <c r="B158" s="144"/>
      <c r="C158" s="145"/>
      <c r="D158" s="52">
        <f>SUM(D5:D157)</f>
        <v>9081533.4300000016</v>
      </c>
      <c r="E158" s="52">
        <f>SUM(E5:E157)</f>
        <v>9081533.4300000016</v>
      </c>
      <c r="F158" s="79"/>
      <c r="H158" s="64">
        <f>SUM(H6:H155)</f>
        <v>0</v>
      </c>
    </row>
    <row r="159" spans="1:9" s="2" customFormat="1" x14ac:dyDescent="0.5">
      <c r="A159" s="1"/>
      <c r="B159" s="1"/>
      <c r="C159" s="1"/>
      <c r="D159" s="3"/>
      <c r="F159" s="1"/>
      <c r="H159" s="66"/>
    </row>
    <row r="160" spans="1:9" s="2" customFormat="1" x14ac:dyDescent="0.5">
      <c r="A160" s="1"/>
      <c r="B160" s="1"/>
      <c r="C160" s="1"/>
      <c r="D160" s="57">
        <f>D158-E158</f>
        <v>0</v>
      </c>
      <c r="E160" s="59">
        <f>SUM(E6:E157)-E14-E17-E21-E22-E33-E34-E35-E42-E44-E67-E75-E82-E85-E86-E96-E101-E142-E154</f>
        <v>8444499.4300000016</v>
      </c>
      <c r="F160" s="1"/>
      <c r="H160" s="66"/>
    </row>
    <row r="161" spans="1:8" s="2" customFormat="1" x14ac:dyDescent="0.5">
      <c r="A161" s="1"/>
      <c r="B161" s="1"/>
      <c r="C161" s="1"/>
      <c r="D161" s="58" t="s">
        <v>142</v>
      </c>
      <c r="E161" s="58" t="s">
        <v>143</v>
      </c>
      <c r="F161" s="1"/>
      <c r="H161" s="66"/>
    </row>
    <row r="162" spans="1:8" x14ac:dyDescent="0.5">
      <c r="E162" s="3"/>
    </row>
  </sheetData>
  <mergeCells count="24">
    <mergeCell ref="A141:C141"/>
    <mergeCell ref="A145:C145"/>
    <mergeCell ref="A149:C149"/>
    <mergeCell ref="A152:C152"/>
    <mergeCell ref="A156:C156"/>
    <mergeCell ref="A158:C158"/>
    <mergeCell ref="A108:C108"/>
    <mergeCell ref="A112:C112"/>
    <mergeCell ref="A117:C117"/>
    <mergeCell ref="A124:C124"/>
    <mergeCell ref="A129:C129"/>
    <mergeCell ref="A134:C134"/>
    <mergeCell ref="A65:C65"/>
    <mergeCell ref="B70:C70"/>
    <mergeCell ref="A71:C71"/>
    <mergeCell ref="A77:C77"/>
    <mergeCell ref="B83:C83"/>
    <mergeCell ref="A84:C84"/>
    <mergeCell ref="C3:C4"/>
    <mergeCell ref="A5:C5"/>
    <mergeCell ref="A16:C16"/>
    <mergeCell ref="A31:C31"/>
    <mergeCell ref="A54:C54"/>
    <mergeCell ref="A61:C61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5604-0AC3-476A-B9A8-30A3EA15DB05}">
  <dimension ref="A1:L159"/>
  <sheetViews>
    <sheetView zoomScale="80" zoomScaleNormal="80" zoomScaleSheetLayoutView="80" workbookViewId="0">
      <pane ySplit="4" topLeftCell="A5" activePane="bottomLeft" state="frozen"/>
      <selection activeCell="A3" sqref="A3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175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9E38-78A6-4BA0-BBC1-96AE79AA7C9F}">
  <dimension ref="A1:L159"/>
  <sheetViews>
    <sheetView zoomScale="80" zoomScaleNormal="80" zoomScaleSheetLayoutView="80" workbookViewId="0">
      <pane ySplit="4" topLeftCell="A5" activePane="bottomLeft" state="frozen"/>
      <selection activeCell="A3" sqref="A3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176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4FC5-E799-4D40-B44B-4E9A3E122B14}">
  <dimension ref="A1:L159"/>
  <sheetViews>
    <sheetView zoomScale="80" zoomScaleNormal="80" zoomScaleSheetLayoutView="80" workbookViewId="0">
      <pane ySplit="4" topLeftCell="A5" activePane="bottomLeft" state="frozen"/>
      <selection activeCell="A3" sqref="A3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177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C473-AAC1-4C7D-9077-25BB5436021F}">
  <dimension ref="A1:L159"/>
  <sheetViews>
    <sheetView zoomScale="80" zoomScaleNormal="80" zoomScaleSheetLayoutView="80" workbookViewId="0">
      <pane ySplit="4" topLeftCell="A5" activePane="bottomLeft" state="frozen"/>
      <selection activeCell="A3" sqref="A3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178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B300-6FB1-4708-846B-718AB31CED81}">
  <dimension ref="A1:L159"/>
  <sheetViews>
    <sheetView zoomScale="80" zoomScaleNormal="80" zoomScaleSheetLayoutView="80" workbookViewId="0">
      <pane ySplit="4" topLeftCell="A20" activePane="bottomLeft" state="frozen"/>
      <selection activeCell="A2" sqref="A2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179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E138-AB81-4CD8-B5C7-62DF47402730}">
  <dimension ref="A1:L159"/>
  <sheetViews>
    <sheetView zoomScale="80" zoomScaleNormal="80" zoomScaleSheetLayoutView="80" workbookViewId="0">
      <pane ySplit="4" topLeftCell="A5" activePane="bottomLeft" state="frozen"/>
      <selection activeCell="A3" sqref="A3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180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ECA6-7B3B-4E78-8239-ED2A6428B2E0}">
  <dimension ref="A1:L159"/>
  <sheetViews>
    <sheetView zoomScale="80" zoomScaleNormal="80" zoomScaleSheetLayoutView="80" workbookViewId="0">
      <pane ySplit="4" topLeftCell="A5" activePane="bottomLeft" state="frozen"/>
      <selection activeCell="A2" sqref="A2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181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07B2-6A43-44BE-ABB5-B377EDA91C71}">
  <dimension ref="A1:L159"/>
  <sheetViews>
    <sheetView zoomScale="80" zoomScaleNormal="80" zoomScaleSheetLayoutView="80" workbookViewId="0">
      <pane ySplit="4" topLeftCell="A20" activePane="bottomLeft" state="frozen"/>
      <selection activeCell="A2" sqref="A2"/>
      <selection pane="bottomLeft" activeCell="A2" sqref="A2"/>
    </sheetView>
  </sheetViews>
  <sheetFormatPr defaultColWidth="9" defaultRowHeight="21.75" x14ac:dyDescent="0.5"/>
  <cols>
    <col min="1" max="1" width="6.5" style="1" customWidth="1"/>
    <col min="2" max="2" width="22.375" style="1" bestFit="1" customWidth="1"/>
    <col min="3" max="3" width="29.125" style="1" bestFit="1" customWidth="1"/>
    <col min="4" max="4" width="20.5" style="2" customWidth="1"/>
    <col min="5" max="5" width="24" style="2" customWidth="1"/>
    <col min="6" max="6" width="6.5" style="1" bestFit="1" customWidth="1"/>
    <col min="7" max="7" width="2.125" style="1" customWidth="1"/>
    <col min="8" max="8" width="11.375" style="36" bestFit="1" customWidth="1"/>
    <col min="9" max="9" width="16.875" style="1" bestFit="1" customWidth="1"/>
    <col min="10" max="10" width="9.625" style="1" bestFit="1" customWidth="1"/>
    <col min="11" max="12" width="10.125" style="1" bestFit="1" customWidth="1"/>
    <col min="13" max="16384" width="9" style="1"/>
  </cols>
  <sheetData>
    <row r="1" spans="1:10" ht="31.5" x14ac:dyDescent="0.65">
      <c r="A1" s="33" t="s">
        <v>0</v>
      </c>
      <c r="E1" s="4"/>
    </row>
    <row r="2" spans="1:10" ht="27" thickBot="1" x14ac:dyDescent="0.6">
      <c r="A2" s="32" t="s">
        <v>182</v>
      </c>
    </row>
    <row r="3" spans="1:10" x14ac:dyDescent="0.5">
      <c r="A3" s="31" t="s">
        <v>1</v>
      </c>
      <c r="B3" s="30"/>
      <c r="C3" s="127" t="s">
        <v>2</v>
      </c>
      <c r="D3" s="29" t="s">
        <v>3</v>
      </c>
      <c r="E3" s="28" t="s">
        <v>4</v>
      </c>
      <c r="F3" s="75"/>
    </row>
    <row r="4" spans="1:10" x14ac:dyDescent="0.5">
      <c r="A4" s="27"/>
      <c r="B4" s="26" t="s">
        <v>5</v>
      </c>
      <c r="C4" s="128"/>
      <c r="D4" s="25" t="s">
        <v>6</v>
      </c>
      <c r="E4" s="24" t="s">
        <v>6</v>
      </c>
      <c r="F4" s="76"/>
      <c r="H4" s="60" t="s">
        <v>7</v>
      </c>
    </row>
    <row r="5" spans="1:10" x14ac:dyDescent="0.5">
      <c r="A5" s="121" t="s">
        <v>8</v>
      </c>
      <c r="B5" s="122"/>
      <c r="C5" s="123"/>
      <c r="D5" s="23"/>
      <c r="E5" s="23"/>
      <c r="F5" s="17"/>
      <c r="H5" s="61"/>
    </row>
    <row r="6" spans="1:10" x14ac:dyDescent="0.5">
      <c r="A6" s="21">
        <v>101592</v>
      </c>
      <c r="B6" s="7" t="s">
        <v>9</v>
      </c>
      <c r="C6" s="7" t="s">
        <v>10</v>
      </c>
      <c r="D6" s="14"/>
      <c r="E6" s="5"/>
      <c r="F6" s="7"/>
      <c r="H6" s="62">
        <f>E6-D56</f>
        <v>0</v>
      </c>
    </row>
    <row r="7" spans="1:10" s="36" customFormat="1" x14ac:dyDescent="0.5">
      <c r="A7" s="21">
        <v>101592</v>
      </c>
      <c r="B7" s="53" t="s">
        <v>9</v>
      </c>
      <c r="C7" s="70" t="s">
        <v>11</v>
      </c>
      <c r="D7" s="54"/>
      <c r="E7" s="80"/>
      <c r="F7" s="53">
        <v>101595</v>
      </c>
      <c r="H7" s="62">
        <f>D7-E57</f>
        <v>0</v>
      </c>
    </row>
    <row r="8" spans="1:10" x14ac:dyDescent="0.5">
      <c r="A8" s="21">
        <v>101592</v>
      </c>
      <c r="B8" s="7" t="s">
        <v>9</v>
      </c>
      <c r="C8" s="7" t="s">
        <v>12</v>
      </c>
      <c r="D8" s="6"/>
      <c r="E8" s="5"/>
      <c r="F8" s="7"/>
      <c r="H8" s="61"/>
    </row>
    <row r="9" spans="1:10" x14ac:dyDescent="0.5">
      <c r="A9" s="21">
        <v>101592</v>
      </c>
      <c r="B9" s="7" t="s">
        <v>9</v>
      </c>
      <c r="C9" s="7" t="s">
        <v>13</v>
      </c>
      <c r="D9" s="6"/>
      <c r="E9" s="5"/>
      <c r="F9" s="7"/>
      <c r="H9" s="61"/>
      <c r="J9" s="116"/>
    </row>
    <row r="10" spans="1:10" x14ac:dyDescent="0.5">
      <c r="A10" s="81">
        <v>101592</v>
      </c>
      <c r="B10" s="7" t="s">
        <v>9</v>
      </c>
      <c r="C10" s="68" t="s">
        <v>14</v>
      </c>
      <c r="D10" s="6"/>
      <c r="E10" s="51"/>
      <c r="F10" s="7">
        <v>100711</v>
      </c>
      <c r="H10" s="62">
        <f>D10-E37</f>
        <v>0</v>
      </c>
    </row>
    <row r="11" spans="1:10" x14ac:dyDescent="0.5">
      <c r="A11" s="21">
        <v>101592</v>
      </c>
      <c r="B11" s="7" t="s">
        <v>9</v>
      </c>
      <c r="C11" s="68" t="s">
        <v>15</v>
      </c>
      <c r="D11" s="6"/>
      <c r="E11" s="13"/>
      <c r="F11" s="7">
        <v>101593</v>
      </c>
      <c r="H11" s="62">
        <f>D11-E18</f>
        <v>0</v>
      </c>
    </row>
    <row r="12" spans="1:10" x14ac:dyDescent="0.5">
      <c r="A12" s="21">
        <v>101592</v>
      </c>
      <c r="B12" s="7" t="s">
        <v>9</v>
      </c>
      <c r="C12" s="7" t="s">
        <v>16</v>
      </c>
      <c r="D12" s="6"/>
      <c r="E12" s="5"/>
      <c r="F12" s="7"/>
      <c r="H12" s="62">
        <f>E12-D93</f>
        <v>0</v>
      </c>
    </row>
    <row r="13" spans="1:10" x14ac:dyDescent="0.5">
      <c r="A13" s="21">
        <v>101592</v>
      </c>
      <c r="B13" s="7" t="s">
        <v>9</v>
      </c>
      <c r="C13" s="68" t="s">
        <v>17</v>
      </c>
      <c r="D13" s="6"/>
      <c r="E13" s="5"/>
      <c r="F13" s="7">
        <v>101600</v>
      </c>
      <c r="H13" s="62">
        <f>D13-E94</f>
        <v>0</v>
      </c>
    </row>
    <row r="14" spans="1:10" x14ac:dyDescent="0.5">
      <c r="A14" s="21">
        <v>101592</v>
      </c>
      <c r="B14" s="7" t="s">
        <v>9</v>
      </c>
      <c r="C14" s="7" t="s">
        <v>18</v>
      </c>
      <c r="D14" s="6"/>
      <c r="E14" s="13"/>
      <c r="F14" s="7"/>
      <c r="H14" s="61"/>
    </row>
    <row r="15" spans="1:10" x14ac:dyDescent="0.5">
      <c r="A15" s="81">
        <v>101592</v>
      </c>
      <c r="B15" s="7" t="s">
        <v>162</v>
      </c>
      <c r="C15" s="68" t="s">
        <v>14</v>
      </c>
      <c r="D15" s="6"/>
      <c r="E15" s="51"/>
      <c r="F15" s="7">
        <v>100711</v>
      </c>
      <c r="H15" s="62">
        <f>D15-E49</f>
        <v>0</v>
      </c>
      <c r="I15" s="84" t="s">
        <v>161</v>
      </c>
    </row>
    <row r="16" spans="1:10" x14ac:dyDescent="0.5">
      <c r="A16" s="121" t="s">
        <v>19</v>
      </c>
      <c r="B16" s="122"/>
      <c r="C16" s="123"/>
      <c r="D16" s="12"/>
      <c r="E16" s="12"/>
      <c r="F16" s="17"/>
      <c r="H16" s="61"/>
    </row>
    <row r="17" spans="1:11" x14ac:dyDescent="0.5">
      <c r="A17" s="21">
        <v>101593</v>
      </c>
      <c r="B17" s="7" t="s">
        <v>20</v>
      </c>
      <c r="C17" s="7" t="s">
        <v>21</v>
      </c>
      <c r="D17" s="14"/>
      <c r="E17" s="13"/>
      <c r="F17" s="7"/>
      <c r="H17" s="61"/>
    </row>
    <row r="18" spans="1:11" x14ac:dyDescent="0.5">
      <c r="A18" s="21">
        <v>101593</v>
      </c>
      <c r="B18" s="7" t="s">
        <v>20</v>
      </c>
      <c r="C18" s="7" t="s">
        <v>22</v>
      </c>
      <c r="D18" s="14"/>
      <c r="E18" s="5"/>
      <c r="F18" s="7"/>
      <c r="H18" s="62">
        <f>E18-D11</f>
        <v>0</v>
      </c>
    </row>
    <row r="19" spans="1:11" x14ac:dyDescent="0.5">
      <c r="A19" s="21">
        <v>101593</v>
      </c>
      <c r="B19" s="7" t="s">
        <v>20</v>
      </c>
      <c r="C19" s="7" t="s">
        <v>23</v>
      </c>
      <c r="D19" s="14"/>
      <c r="E19" s="5"/>
      <c r="F19" s="7"/>
      <c r="H19" s="62">
        <f>E19-D39</f>
        <v>0</v>
      </c>
    </row>
    <row r="20" spans="1:11" s="38" customFormat="1" x14ac:dyDescent="0.5">
      <c r="A20" s="81">
        <v>101593</v>
      </c>
      <c r="B20" s="7" t="s">
        <v>20</v>
      </c>
      <c r="C20" s="7" t="s">
        <v>24</v>
      </c>
      <c r="D20" s="14"/>
      <c r="E20" s="5"/>
      <c r="F20" s="37"/>
      <c r="H20" s="62">
        <f>E20-D32</f>
        <v>0</v>
      </c>
      <c r="K20" s="118"/>
    </row>
    <row r="21" spans="1:11" x14ac:dyDescent="0.5">
      <c r="A21" s="21">
        <v>101593</v>
      </c>
      <c r="B21" s="7" t="s">
        <v>20</v>
      </c>
      <c r="C21" s="7" t="s">
        <v>25</v>
      </c>
      <c r="D21" s="14"/>
      <c r="E21" s="5"/>
      <c r="F21" s="7"/>
      <c r="H21" s="62">
        <f>E21-D25</f>
        <v>0</v>
      </c>
      <c r="K21" s="116"/>
    </row>
    <row r="22" spans="1:11" x14ac:dyDescent="0.5">
      <c r="A22" s="21">
        <v>101593</v>
      </c>
      <c r="B22" s="7" t="s">
        <v>20</v>
      </c>
      <c r="C22" s="7" t="s">
        <v>26</v>
      </c>
      <c r="D22" s="14"/>
      <c r="E22" s="5"/>
      <c r="F22" s="7"/>
      <c r="H22" s="62">
        <f>E22-D26</f>
        <v>0</v>
      </c>
    </row>
    <row r="23" spans="1:11" x14ac:dyDescent="0.5">
      <c r="A23" s="21">
        <v>101593</v>
      </c>
      <c r="B23" s="7" t="s">
        <v>20</v>
      </c>
      <c r="C23" s="68" t="s">
        <v>27</v>
      </c>
      <c r="D23" s="6"/>
      <c r="E23" s="5"/>
      <c r="F23" s="7">
        <v>100711</v>
      </c>
      <c r="H23" s="63">
        <f>E38-D23</f>
        <v>0</v>
      </c>
    </row>
    <row r="24" spans="1:11" x14ac:dyDescent="0.5">
      <c r="A24" s="21">
        <v>101593</v>
      </c>
      <c r="B24" s="7" t="s">
        <v>20</v>
      </c>
      <c r="C24" s="7" t="s">
        <v>28</v>
      </c>
      <c r="D24" s="6"/>
      <c r="E24" s="5"/>
      <c r="F24" s="7"/>
      <c r="H24" s="62">
        <f>E24-D59</f>
        <v>0</v>
      </c>
    </row>
    <row r="25" spans="1:11" x14ac:dyDescent="0.5">
      <c r="A25" s="20">
        <v>100703</v>
      </c>
      <c r="B25" s="7" t="s">
        <v>29</v>
      </c>
      <c r="C25" s="68" t="s">
        <v>30</v>
      </c>
      <c r="D25" s="6"/>
      <c r="E25" s="5"/>
      <c r="F25" s="7">
        <v>101593</v>
      </c>
      <c r="H25" s="62">
        <f>D25-E21</f>
        <v>0</v>
      </c>
    </row>
    <row r="26" spans="1:11" x14ac:dyDescent="0.5">
      <c r="A26" s="21">
        <v>100702</v>
      </c>
      <c r="B26" s="7" t="s">
        <v>31</v>
      </c>
      <c r="C26" s="68" t="s">
        <v>30</v>
      </c>
      <c r="D26" s="6"/>
      <c r="E26" s="5"/>
      <c r="F26" s="7">
        <v>101593</v>
      </c>
      <c r="H26" s="62">
        <f>D26-E22</f>
        <v>0</v>
      </c>
    </row>
    <row r="27" spans="1:11" x14ac:dyDescent="0.5">
      <c r="A27" s="21">
        <v>101593</v>
      </c>
      <c r="B27" s="7" t="s">
        <v>20</v>
      </c>
      <c r="C27" s="68" t="s">
        <v>42</v>
      </c>
      <c r="D27" s="6"/>
      <c r="E27" s="5"/>
      <c r="F27" s="67"/>
      <c r="H27" s="62">
        <f>D27-E48</f>
        <v>0</v>
      </c>
      <c r="I27" s="1" t="s">
        <v>160</v>
      </c>
    </row>
    <row r="28" spans="1:11" x14ac:dyDescent="0.5">
      <c r="A28" s="81">
        <v>101593</v>
      </c>
      <c r="B28" s="7" t="s">
        <v>166</v>
      </c>
      <c r="C28" s="7" t="s">
        <v>24</v>
      </c>
      <c r="D28" s="14"/>
      <c r="E28" s="5"/>
      <c r="F28" s="67"/>
      <c r="H28" s="62">
        <f>E28-D52</f>
        <v>0</v>
      </c>
      <c r="I28" s="84" t="s">
        <v>161</v>
      </c>
    </row>
    <row r="29" spans="1:11" x14ac:dyDescent="0.5">
      <c r="A29" s="81">
        <v>101593</v>
      </c>
      <c r="B29" s="7" t="s">
        <v>20</v>
      </c>
      <c r="C29" s="7" t="s">
        <v>44</v>
      </c>
      <c r="D29" s="6"/>
      <c r="E29" s="5"/>
      <c r="F29" s="7"/>
      <c r="H29" s="62">
        <f>E29-D53</f>
        <v>0</v>
      </c>
      <c r="I29" s="84" t="s">
        <v>167</v>
      </c>
    </row>
    <row r="30" spans="1:11" x14ac:dyDescent="0.5">
      <c r="A30" s="21">
        <v>101593</v>
      </c>
      <c r="B30" s="7" t="s">
        <v>20</v>
      </c>
      <c r="C30" s="68" t="s">
        <v>169</v>
      </c>
      <c r="D30" s="6"/>
      <c r="E30" s="5"/>
      <c r="F30" s="67"/>
      <c r="H30" s="62">
        <f>D30-E60</f>
        <v>0</v>
      </c>
      <c r="I30" s="120" t="s">
        <v>170</v>
      </c>
    </row>
    <row r="31" spans="1:11" x14ac:dyDescent="0.5">
      <c r="A31" s="124" t="s">
        <v>32</v>
      </c>
      <c r="B31" s="125"/>
      <c r="C31" s="126"/>
      <c r="D31" s="12"/>
      <c r="E31" s="45"/>
      <c r="F31" s="67"/>
      <c r="H31" s="61"/>
    </row>
    <row r="32" spans="1:11" s="38" customFormat="1" x14ac:dyDescent="0.5">
      <c r="A32" s="90">
        <v>101594</v>
      </c>
      <c r="B32" s="87" t="s">
        <v>33</v>
      </c>
      <c r="C32" s="88" t="s">
        <v>30</v>
      </c>
      <c r="D32" s="54"/>
      <c r="E32" s="80"/>
      <c r="F32" s="89">
        <v>101593</v>
      </c>
      <c r="H32" s="62">
        <f>D32-E20</f>
        <v>0</v>
      </c>
      <c r="K32" s="118"/>
    </row>
    <row r="33" spans="1:12" x14ac:dyDescent="0.5">
      <c r="A33" s="102">
        <v>101594</v>
      </c>
      <c r="B33" s="103" t="s">
        <v>33</v>
      </c>
      <c r="C33" s="100" t="s">
        <v>34</v>
      </c>
      <c r="D33" s="104"/>
      <c r="E33" s="105"/>
      <c r="F33" s="100"/>
      <c r="H33" s="63">
        <f>D41-E33</f>
        <v>0</v>
      </c>
    </row>
    <row r="34" spans="1:12" x14ac:dyDescent="0.5">
      <c r="A34" s="87">
        <v>101594</v>
      </c>
      <c r="B34" s="87" t="s">
        <v>33</v>
      </c>
      <c r="C34" s="87" t="s">
        <v>35</v>
      </c>
      <c r="D34" s="109"/>
      <c r="E34" s="110"/>
      <c r="F34" s="87"/>
      <c r="H34" s="62">
        <f>E34-D47</f>
        <v>0</v>
      </c>
    </row>
    <row r="35" spans="1:12" x14ac:dyDescent="0.5">
      <c r="A35" s="87">
        <v>100700</v>
      </c>
      <c r="B35" s="87" t="s">
        <v>36</v>
      </c>
      <c r="C35" s="87" t="s">
        <v>35</v>
      </c>
      <c r="D35" s="109"/>
      <c r="E35" s="110"/>
      <c r="F35" s="87"/>
      <c r="H35" s="62">
        <f>E35-D46</f>
        <v>0</v>
      </c>
    </row>
    <row r="36" spans="1:12" x14ac:dyDescent="0.5">
      <c r="A36" s="87">
        <v>100711</v>
      </c>
      <c r="B36" s="87" t="s">
        <v>37</v>
      </c>
      <c r="C36" s="111" t="s">
        <v>38</v>
      </c>
      <c r="D36" s="109"/>
      <c r="E36" s="110"/>
      <c r="F36" s="87">
        <v>101592</v>
      </c>
      <c r="H36" s="61"/>
    </row>
    <row r="37" spans="1:12" x14ac:dyDescent="0.5">
      <c r="A37" s="101">
        <v>100711</v>
      </c>
      <c r="B37" s="87" t="s">
        <v>37</v>
      </c>
      <c r="C37" s="87" t="s">
        <v>39</v>
      </c>
      <c r="D37" s="112"/>
      <c r="E37" s="110"/>
      <c r="F37" s="87"/>
      <c r="H37" s="62">
        <f>E37-D10</f>
        <v>0</v>
      </c>
      <c r="L37" s="116"/>
    </row>
    <row r="38" spans="1:12" x14ac:dyDescent="0.5">
      <c r="A38" s="87">
        <v>100711</v>
      </c>
      <c r="B38" s="87" t="s">
        <v>37</v>
      </c>
      <c r="C38" s="87" t="s">
        <v>40</v>
      </c>
      <c r="D38" s="112"/>
      <c r="E38" s="110"/>
      <c r="F38" s="87"/>
      <c r="H38" s="62">
        <f>E38-D23</f>
        <v>0</v>
      </c>
    </row>
    <row r="39" spans="1:12" s="36" customFormat="1" x14ac:dyDescent="0.5">
      <c r="A39" s="87">
        <v>100711</v>
      </c>
      <c r="B39" s="87" t="s">
        <v>37</v>
      </c>
      <c r="C39" s="111" t="s">
        <v>30</v>
      </c>
      <c r="D39" s="109"/>
      <c r="E39" s="110"/>
      <c r="F39" s="87">
        <v>101593</v>
      </c>
      <c r="H39" s="62">
        <f>D39-E19</f>
        <v>0</v>
      </c>
    </row>
    <row r="40" spans="1:12" x14ac:dyDescent="0.5">
      <c r="A40" s="87">
        <v>100711</v>
      </c>
      <c r="B40" s="87" t="s">
        <v>37</v>
      </c>
      <c r="C40" s="87" t="s">
        <v>41</v>
      </c>
      <c r="D40" s="109"/>
      <c r="E40" s="110"/>
      <c r="F40" s="87"/>
      <c r="H40" s="62">
        <f>E40-D95</f>
        <v>0</v>
      </c>
    </row>
    <row r="41" spans="1:12" s="36" customFormat="1" x14ac:dyDescent="0.5">
      <c r="A41" s="101">
        <v>100711</v>
      </c>
      <c r="B41" s="87" t="s">
        <v>37</v>
      </c>
      <c r="C41" s="111" t="s">
        <v>42</v>
      </c>
      <c r="D41" s="109"/>
      <c r="E41" s="110"/>
      <c r="F41" s="87">
        <v>101594</v>
      </c>
      <c r="H41" s="62">
        <f>D41-E33</f>
        <v>0</v>
      </c>
      <c r="J41" s="117"/>
      <c r="K41" s="117"/>
      <c r="L41" s="117"/>
    </row>
    <row r="42" spans="1:12" x14ac:dyDescent="0.5">
      <c r="A42" s="87">
        <v>100711</v>
      </c>
      <c r="B42" s="87" t="s">
        <v>37</v>
      </c>
      <c r="C42" s="87" t="s">
        <v>24</v>
      </c>
      <c r="D42" s="109"/>
      <c r="E42" s="110"/>
      <c r="F42" s="87"/>
      <c r="H42" s="62">
        <f>E42-D43</f>
        <v>0</v>
      </c>
    </row>
    <row r="43" spans="1:12" x14ac:dyDescent="0.5">
      <c r="A43" s="87">
        <v>101594</v>
      </c>
      <c r="B43" s="87" t="s">
        <v>33</v>
      </c>
      <c r="C43" s="111" t="s">
        <v>43</v>
      </c>
      <c r="D43" s="109"/>
      <c r="E43" s="110"/>
      <c r="F43" s="87">
        <v>100711</v>
      </c>
      <c r="H43" s="62">
        <f>D43-E42</f>
        <v>0</v>
      </c>
    </row>
    <row r="44" spans="1:12" x14ac:dyDescent="0.5">
      <c r="A44" s="87">
        <v>101594</v>
      </c>
      <c r="B44" s="87" t="s">
        <v>33</v>
      </c>
      <c r="C44" s="87" t="s">
        <v>44</v>
      </c>
      <c r="D44" s="113"/>
      <c r="E44" s="114"/>
      <c r="F44" s="87"/>
      <c r="H44" s="62">
        <f>E44-D45</f>
        <v>0</v>
      </c>
    </row>
    <row r="45" spans="1:12" x14ac:dyDescent="0.5">
      <c r="A45" s="87">
        <v>100700</v>
      </c>
      <c r="B45" s="87" t="s">
        <v>36</v>
      </c>
      <c r="C45" s="111" t="s">
        <v>42</v>
      </c>
      <c r="D45" s="113"/>
      <c r="E45" s="114"/>
      <c r="F45" s="87">
        <v>101594</v>
      </c>
      <c r="H45" s="62">
        <f>D45-E44</f>
        <v>0</v>
      </c>
    </row>
    <row r="46" spans="1:12" x14ac:dyDescent="0.5">
      <c r="A46" s="87">
        <v>100709</v>
      </c>
      <c r="B46" s="87" t="s">
        <v>45</v>
      </c>
      <c r="C46" s="111" t="s">
        <v>46</v>
      </c>
      <c r="D46" s="113"/>
      <c r="E46" s="115"/>
      <c r="F46" s="87">
        <v>100700</v>
      </c>
      <c r="H46" s="62">
        <f>D46-E35</f>
        <v>0</v>
      </c>
    </row>
    <row r="47" spans="1:12" x14ac:dyDescent="0.5">
      <c r="A47" s="87">
        <v>100709</v>
      </c>
      <c r="B47" s="87" t="s">
        <v>45</v>
      </c>
      <c r="C47" s="111" t="s">
        <v>42</v>
      </c>
      <c r="D47" s="113"/>
      <c r="E47" s="115"/>
      <c r="F47" s="87">
        <v>101594</v>
      </c>
      <c r="H47" s="62">
        <f>D47-E34</f>
        <v>0</v>
      </c>
    </row>
    <row r="48" spans="1:12" x14ac:dyDescent="0.5">
      <c r="A48" s="87">
        <v>101594</v>
      </c>
      <c r="B48" s="87" t="s">
        <v>33</v>
      </c>
      <c r="C48" s="87" t="s">
        <v>40</v>
      </c>
      <c r="D48" s="109"/>
      <c r="E48" s="110"/>
      <c r="F48" s="87"/>
      <c r="H48" s="62">
        <f>E48-D27</f>
        <v>0</v>
      </c>
      <c r="I48" s="1" t="s">
        <v>160</v>
      </c>
    </row>
    <row r="49" spans="1:11" x14ac:dyDescent="0.5">
      <c r="A49" s="101">
        <v>100711</v>
      </c>
      <c r="B49" s="87" t="s">
        <v>163</v>
      </c>
      <c r="C49" s="87" t="s">
        <v>39</v>
      </c>
      <c r="D49" s="112"/>
      <c r="E49" s="110"/>
      <c r="F49" s="87"/>
      <c r="H49" s="62">
        <f>E49-D15</f>
        <v>0</v>
      </c>
      <c r="I49" s="84" t="s">
        <v>161</v>
      </c>
    </row>
    <row r="50" spans="1:11" x14ac:dyDescent="0.5">
      <c r="A50" s="106">
        <v>100711</v>
      </c>
      <c r="B50" s="77" t="s">
        <v>164</v>
      </c>
      <c r="C50" s="73" t="s">
        <v>42</v>
      </c>
      <c r="D50" s="107"/>
      <c r="E50" s="108"/>
      <c r="F50" s="77"/>
      <c r="H50" s="62">
        <f>D50-E51</f>
        <v>0</v>
      </c>
      <c r="I50" s="84" t="s">
        <v>161</v>
      </c>
    </row>
    <row r="51" spans="1:11" x14ac:dyDescent="0.5">
      <c r="A51" s="85">
        <v>101594</v>
      </c>
      <c r="B51" s="22" t="s">
        <v>165</v>
      </c>
      <c r="C51" s="17" t="s">
        <v>34</v>
      </c>
      <c r="D51" s="6"/>
      <c r="E51" s="5"/>
      <c r="F51" s="77"/>
      <c r="H51" s="62">
        <f>E51-D50</f>
        <v>0</v>
      </c>
      <c r="I51" s="84" t="s">
        <v>161</v>
      </c>
    </row>
    <row r="52" spans="1:11" x14ac:dyDescent="0.5">
      <c r="A52" s="90">
        <v>101594</v>
      </c>
      <c r="B52" s="87" t="s">
        <v>165</v>
      </c>
      <c r="C52" s="88" t="s">
        <v>30</v>
      </c>
      <c r="D52" s="54"/>
      <c r="E52" s="80"/>
      <c r="F52" s="89">
        <v>101593</v>
      </c>
      <c r="H52" s="62">
        <f>D52-E28</f>
        <v>0</v>
      </c>
      <c r="I52" s="84" t="s">
        <v>161</v>
      </c>
    </row>
    <row r="53" spans="1:11" x14ac:dyDescent="0.5">
      <c r="A53" s="90">
        <v>100700</v>
      </c>
      <c r="B53" s="87" t="s">
        <v>36</v>
      </c>
      <c r="C53" s="88" t="s">
        <v>30</v>
      </c>
      <c r="D53" s="54"/>
      <c r="E53" s="80"/>
      <c r="F53" s="89"/>
      <c r="H53" s="62">
        <f>D53-E29</f>
        <v>0</v>
      </c>
      <c r="I53" s="84" t="s">
        <v>167</v>
      </c>
    </row>
    <row r="54" spans="1:11" s="36" customFormat="1" x14ac:dyDescent="0.5">
      <c r="A54" s="129" t="s">
        <v>47</v>
      </c>
      <c r="B54" s="130"/>
      <c r="C54" s="131"/>
      <c r="D54" s="12"/>
      <c r="E54" s="45"/>
      <c r="F54" s="77"/>
      <c r="H54" s="61"/>
    </row>
    <row r="55" spans="1:11" x14ac:dyDescent="0.5">
      <c r="A55" s="21">
        <v>101595</v>
      </c>
      <c r="B55" s="7" t="s">
        <v>48</v>
      </c>
      <c r="C55" s="7" t="s">
        <v>49</v>
      </c>
      <c r="D55" s="6"/>
      <c r="E55" s="5"/>
      <c r="F55" s="7"/>
      <c r="H55" s="62">
        <f>E55-D63</f>
        <v>0</v>
      </c>
    </row>
    <row r="56" spans="1:11" x14ac:dyDescent="0.5">
      <c r="A56" s="21">
        <v>101595</v>
      </c>
      <c r="B56" s="7" t="s">
        <v>48</v>
      </c>
      <c r="C56" s="68" t="s">
        <v>50</v>
      </c>
      <c r="D56" s="6"/>
      <c r="E56" s="18"/>
      <c r="F56" s="7">
        <v>101592</v>
      </c>
      <c r="H56" s="62">
        <f>D56-E6</f>
        <v>0</v>
      </c>
    </row>
    <row r="57" spans="1:11" x14ac:dyDescent="0.5">
      <c r="A57" s="21">
        <v>101595</v>
      </c>
      <c r="B57" s="7" t="s">
        <v>48</v>
      </c>
      <c r="C57" s="7" t="s">
        <v>51</v>
      </c>
      <c r="D57" s="6"/>
      <c r="E57" s="18"/>
      <c r="F57" s="40"/>
      <c r="H57" s="62">
        <f>E57-D7</f>
        <v>0</v>
      </c>
    </row>
    <row r="58" spans="1:11" x14ac:dyDescent="0.5">
      <c r="A58" s="21">
        <v>101595</v>
      </c>
      <c r="B58" s="53" t="s">
        <v>48</v>
      </c>
      <c r="C58" s="70" t="s">
        <v>52</v>
      </c>
      <c r="D58" s="54"/>
      <c r="E58" s="55"/>
      <c r="F58" s="53">
        <v>101596</v>
      </c>
      <c r="H58" s="61"/>
    </row>
    <row r="59" spans="1:11" x14ac:dyDescent="0.5">
      <c r="A59" s="21">
        <v>101595</v>
      </c>
      <c r="B59" s="53" t="s">
        <v>48</v>
      </c>
      <c r="C59" s="70" t="s">
        <v>15</v>
      </c>
      <c r="D59" s="54"/>
      <c r="E59" s="55"/>
      <c r="F59" s="53">
        <v>101593</v>
      </c>
      <c r="H59" s="62">
        <f>D59-E24</f>
        <v>0</v>
      </c>
      <c r="K59" s="86"/>
    </row>
    <row r="60" spans="1:11" x14ac:dyDescent="0.5">
      <c r="A60" s="21">
        <v>101595</v>
      </c>
      <c r="B60" s="7" t="s">
        <v>48</v>
      </c>
      <c r="C60" s="7" t="s">
        <v>40</v>
      </c>
      <c r="D60" s="6"/>
      <c r="E60" s="18"/>
      <c r="F60" s="40"/>
      <c r="H60" s="62">
        <f>E60-D30</f>
        <v>0</v>
      </c>
      <c r="I60" s="120" t="s">
        <v>170</v>
      </c>
    </row>
    <row r="61" spans="1:11" x14ac:dyDescent="0.5">
      <c r="A61" s="121" t="s">
        <v>53</v>
      </c>
      <c r="B61" s="122"/>
      <c r="C61" s="123"/>
      <c r="D61" s="8"/>
      <c r="E61" s="45"/>
      <c r="F61" s="17"/>
      <c r="H61" s="61"/>
    </row>
    <row r="62" spans="1:11" x14ac:dyDescent="0.5">
      <c r="A62" s="21">
        <v>101596</v>
      </c>
      <c r="B62" s="7" t="s">
        <v>54</v>
      </c>
      <c r="C62" s="68" t="s">
        <v>55</v>
      </c>
      <c r="D62" s="6"/>
      <c r="E62" s="18"/>
      <c r="F62" s="7">
        <v>101597</v>
      </c>
      <c r="H62" s="62">
        <f>D62-E66</f>
        <v>0</v>
      </c>
    </row>
    <row r="63" spans="1:11" x14ac:dyDescent="0.5">
      <c r="A63" s="21">
        <v>101596</v>
      </c>
      <c r="B63" s="53" t="s">
        <v>54</v>
      </c>
      <c r="C63" s="70" t="s">
        <v>11</v>
      </c>
      <c r="D63" s="54"/>
      <c r="E63" s="55"/>
      <c r="F63" s="53">
        <v>101595</v>
      </c>
      <c r="H63" s="62">
        <f>D63-E55</f>
        <v>0</v>
      </c>
    </row>
    <row r="64" spans="1:11" x14ac:dyDescent="0.5">
      <c r="A64" s="21">
        <v>101596</v>
      </c>
      <c r="B64" s="7" t="s">
        <v>54</v>
      </c>
      <c r="C64" s="7" t="s">
        <v>10</v>
      </c>
      <c r="D64" s="6"/>
      <c r="E64" s="5"/>
      <c r="F64" s="7"/>
      <c r="H64" s="61"/>
    </row>
    <row r="65" spans="1:9" x14ac:dyDescent="0.5">
      <c r="A65" s="124" t="s">
        <v>56</v>
      </c>
      <c r="B65" s="125"/>
      <c r="C65" s="126"/>
      <c r="D65" s="8"/>
      <c r="E65" s="45"/>
      <c r="F65" s="67"/>
      <c r="H65" s="61"/>
    </row>
    <row r="66" spans="1:9" x14ac:dyDescent="0.5">
      <c r="A66" s="41">
        <v>101597</v>
      </c>
      <c r="B66" s="17" t="s">
        <v>57</v>
      </c>
      <c r="C66" s="7" t="s">
        <v>58</v>
      </c>
      <c r="D66" s="6"/>
      <c r="E66" s="5"/>
      <c r="F66" s="7"/>
      <c r="H66" s="62">
        <f>E66-D62</f>
        <v>0</v>
      </c>
    </row>
    <row r="67" spans="1:9" x14ac:dyDescent="0.5">
      <c r="A67" s="41">
        <v>101597</v>
      </c>
      <c r="B67" s="17" t="s">
        <v>57</v>
      </c>
      <c r="C67" s="7" t="s">
        <v>59</v>
      </c>
      <c r="D67" s="6"/>
      <c r="E67" s="5"/>
      <c r="F67" s="7"/>
      <c r="H67" s="61"/>
    </row>
    <row r="68" spans="1:9" x14ac:dyDescent="0.5">
      <c r="A68" s="41">
        <v>101597</v>
      </c>
      <c r="B68" s="17" t="s">
        <v>57</v>
      </c>
      <c r="C68" s="68" t="s">
        <v>99</v>
      </c>
      <c r="D68" s="6"/>
      <c r="E68" s="5"/>
      <c r="F68" s="7"/>
      <c r="H68" s="62">
        <f>D68-E120</f>
        <v>0</v>
      </c>
    </row>
    <row r="69" spans="1:9" x14ac:dyDescent="0.5">
      <c r="A69" s="10">
        <v>101597</v>
      </c>
      <c r="B69" s="17" t="s">
        <v>57</v>
      </c>
      <c r="C69" s="7" t="s">
        <v>155</v>
      </c>
      <c r="D69" s="6"/>
      <c r="E69" s="5"/>
      <c r="F69" s="7"/>
      <c r="H69" s="62">
        <f>E69-D121</f>
        <v>0</v>
      </c>
      <c r="I69" s="1" t="s">
        <v>152</v>
      </c>
    </row>
    <row r="70" spans="1:9" x14ac:dyDescent="0.5">
      <c r="A70" s="10"/>
      <c r="B70" s="132" t="s">
        <v>60</v>
      </c>
      <c r="C70" s="133"/>
      <c r="D70" s="6"/>
      <c r="E70" s="5"/>
      <c r="F70" s="7"/>
      <c r="H70" s="61"/>
    </row>
    <row r="71" spans="1:9" x14ac:dyDescent="0.5">
      <c r="A71" s="134" t="s">
        <v>61</v>
      </c>
      <c r="B71" s="135"/>
      <c r="C71" s="136"/>
      <c r="D71" s="16"/>
      <c r="E71" s="45"/>
      <c r="F71" s="7"/>
      <c r="H71" s="61"/>
    </row>
    <row r="72" spans="1:9" x14ac:dyDescent="0.5">
      <c r="A72" s="74">
        <v>101598</v>
      </c>
      <c r="B72" s="15" t="s">
        <v>62</v>
      </c>
      <c r="C72" s="15" t="s">
        <v>63</v>
      </c>
      <c r="D72" s="6"/>
      <c r="E72" s="5"/>
      <c r="F72" s="7"/>
      <c r="H72" s="62">
        <f>E72-D88</f>
        <v>0</v>
      </c>
    </row>
    <row r="73" spans="1:9" x14ac:dyDescent="0.5">
      <c r="A73" s="74">
        <v>101598</v>
      </c>
      <c r="B73" s="7" t="s">
        <v>62</v>
      </c>
      <c r="C73" s="7" t="s">
        <v>12</v>
      </c>
      <c r="D73" s="14"/>
      <c r="E73" s="5"/>
      <c r="F73" s="7"/>
      <c r="H73" s="61"/>
    </row>
    <row r="74" spans="1:9" x14ac:dyDescent="0.5">
      <c r="A74" s="74">
        <v>101598</v>
      </c>
      <c r="B74" s="7" t="s">
        <v>62</v>
      </c>
      <c r="C74" s="7" t="s">
        <v>64</v>
      </c>
      <c r="D74" s="14"/>
      <c r="E74" s="5"/>
      <c r="F74" s="7"/>
      <c r="H74" s="62">
        <f>E74-D90</f>
        <v>0</v>
      </c>
    </row>
    <row r="75" spans="1:9" x14ac:dyDescent="0.5">
      <c r="A75" s="74">
        <v>101598</v>
      </c>
      <c r="B75" s="7" t="s">
        <v>62</v>
      </c>
      <c r="C75" s="7" t="s">
        <v>65</v>
      </c>
      <c r="D75" s="14"/>
      <c r="E75" s="5"/>
      <c r="F75" s="7"/>
      <c r="H75" s="61"/>
    </row>
    <row r="76" spans="1:9" x14ac:dyDescent="0.5">
      <c r="A76" s="74">
        <v>101598</v>
      </c>
      <c r="B76" s="7" t="s">
        <v>62</v>
      </c>
      <c r="C76" s="7" t="s">
        <v>66</v>
      </c>
      <c r="D76" s="14"/>
      <c r="E76" s="5"/>
      <c r="F76" s="7"/>
      <c r="H76" s="62">
        <f>E76-D99</f>
        <v>0</v>
      </c>
    </row>
    <row r="77" spans="1:9" x14ac:dyDescent="0.5">
      <c r="A77" s="121" t="s">
        <v>67</v>
      </c>
      <c r="B77" s="122"/>
      <c r="C77" s="123"/>
      <c r="D77" s="8"/>
      <c r="E77" s="45"/>
      <c r="F77" s="17"/>
      <c r="H77" s="61"/>
    </row>
    <row r="78" spans="1:9" x14ac:dyDescent="0.5">
      <c r="A78" s="21">
        <v>101599</v>
      </c>
      <c r="B78" s="7" t="s">
        <v>68</v>
      </c>
      <c r="C78" s="68" t="s">
        <v>69</v>
      </c>
      <c r="D78" s="6"/>
      <c r="E78" s="18"/>
      <c r="F78" s="7">
        <v>101598</v>
      </c>
      <c r="H78" s="61"/>
    </row>
    <row r="79" spans="1:9" x14ac:dyDescent="0.5">
      <c r="A79" s="21">
        <v>101599</v>
      </c>
      <c r="B79" s="7" t="s">
        <v>68</v>
      </c>
      <c r="C79" s="68" t="s">
        <v>17</v>
      </c>
      <c r="D79" s="6"/>
      <c r="E79" s="5"/>
      <c r="F79" s="7">
        <v>101980</v>
      </c>
      <c r="H79" s="62">
        <f>D79-E92</f>
        <v>0</v>
      </c>
    </row>
    <row r="80" spans="1:9" x14ac:dyDescent="0.5">
      <c r="A80" s="21">
        <v>101599</v>
      </c>
      <c r="B80" s="7" t="s">
        <v>68</v>
      </c>
      <c r="C80" s="68" t="s">
        <v>70</v>
      </c>
      <c r="D80" s="6"/>
      <c r="E80" s="5"/>
      <c r="F80" s="7">
        <v>101592</v>
      </c>
      <c r="H80" s="61"/>
    </row>
    <row r="81" spans="1:8" x14ac:dyDescent="0.5">
      <c r="A81" s="21">
        <v>101599</v>
      </c>
      <c r="B81" s="7" t="s">
        <v>68</v>
      </c>
      <c r="C81" s="7" t="s">
        <v>71</v>
      </c>
      <c r="D81" s="6"/>
      <c r="E81" s="5"/>
      <c r="F81" s="7"/>
      <c r="H81" s="62">
        <f>E81-D91</f>
        <v>0</v>
      </c>
    </row>
    <row r="82" spans="1:8" x14ac:dyDescent="0.5">
      <c r="A82" s="21">
        <v>101599</v>
      </c>
      <c r="B82" s="7" t="s">
        <v>68</v>
      </c>
      <c r="C82" s="7" t="s">
        <v>18</v>
      </c>
      <c r="D82" s="6"/>
      <c r="E82" s="5"/>
      <c r="F82" s="7"/>
      <c r="H82" s="61"/>
    </row>
    <row r="83" spans="1:8" x14ac:dyDescent="0.5">
      <c r="A83" s="21">
        <v>101599</v>
      </c>
      <c r="B83" s="137" t="s">
        <v>72</v>
      </c>
      <c r="C83" s="138"/>
      <c r="D83" s="6"/>
      <c r="E83" s="5"/>
      <c r="F83" s="78"/>
      <c r="H83" s="61"/>
    </row>
    <row r="84" spans="1:8" x14ac:dyDescent="0.5">
      <c r="A84" s="121" t="s">
        <v>73</v>
      </c>
      <c r="B84" s="122"/>
      <c r="C84" s="123"/>
      <c r="D84" s="8"/>
      <c r="E84" s="45"/>
      <c r="F84" s="17"/>
      <c r="H84" s="61"/>
    </row>
    <row r="85" spans="1:8" x14ac:dyDescent="0.5">
      <c r="A85" s="21">
        <v>101600</v>
      </c>
      <c r="B85" s="39" t="s">
        <v>74</v>
      </c>
      <c r="C85" s="7" t="s">
        <v>75</v>
      </c>
      <c r="D85" s="49"/>
      <c r="E85" s="50"/>
      <c r="F85" s="7"/>
      <c r="H85" s="62">
        <f>E85-D89</f>
        <v>0</v>
      </c>
    </row>
    <row r="86" spans="1:8" x14ac:dyDescent="0.5">
      <c r="A86" s="10">
        <v>101600</v>
      </c>
      <c r="B86" s="10" t="s">
        <v>74</v>
      </c>
      <c r="C86" s="17" t="s">
        <v>76</v>
      </c>
      <c r="D86" s="49"/>
      <c r="E86" s="50"/>
      <c r="F86" s="7"/>
      <c r="H86" s="62">
        <f>E86-D97</f>
        <v>0</v>
      </c>
    </row>
    <row r="87" spans="1:8" x14ac:dyDescent="0.5">
      <c r="A87" s="10">
        <v>101600</v>
      </c>
      <c r="B87" s="10" t="s">
        <v>74</v>
      </c>
      <c r="C87" s="94" t="s">
        <v>77</v>
      </c>
      <c r="D87" s="49"/>
      <c r="E87" s="50"/>
      <c r="F87" s="39">
        <v>100748</v>
      </c>
      <c r="H87" s="62">
        <f>D87-E101</f>
        <v>0</v>
      </c>
    </row>
    <row r="88" spans="1:8" x14ac:dyDescent="0.5">
      <c r="A88" s="10">
        <v>100747</v>
      </c>
      <c r="B88" s="10" t="s">
        <v>78</v>
      </c>
      <c r="C88" s="69" t="s">
        <v>69</v>
      </c>
      <c r="D88" s="49"/>
      <c r="E88" s="50"/>
      <c r="F88" s="7">
        <v>101598</v>
      </c>
      <c r="H88" s="62">
        <f>D88-E72</f>
        <v>0</v>
      </c>
    </row>
    <row r="89" spans="1:8" x14ac:dyDescent="0.5">
      <c r="A89" s="10">
        <v>100747</v>
      </c>
      <c r="B89" s="10" t="s">
        <v>78</v>
      </c>
      <c r="C89" s="69" t="s">
        <v>79</v>
      </c>
      <c r="D89" s="49"/>
      <c r="E89" s="50"/>
      <c r="F89" s="7">
        <v>101600</v>
      </c>
      <c r="H89" s="62">
        <f>D89-E85</f>
        <v>0</v>
      </c>
    </row>
    <row r="90" spans="1:8" x14ac:dyDescent="0.5">
      <c r="A90" s="97">
        <v>101980</v>
      </c>
      <c r="B90" s="10" t="s">
        <v>80</v>
      </c>
      <c r="C90" s="69" t="s">
        <v>81</v>
      </c>
      <c r="D90" s="49"/>
      <c r="E90" s="50"/>
      <c r="F90" s="7">
        <v>101598</v>
      </c>
      <c r="H90" s="62">
        <f>D90-E74</f>
        <v>0</v>
      </c>
    </row>
    <row r="91" spans="1:8" x14ac:dyDescent="0.5">
      <c r="A91" s="97">
        <v>101980</v>
      </c>
      <c r="B91" s="10" t="s">
        <v>80</v>
      </c>
      <c r="C91" s="69" t="s">
        <v>82</v>
      </c>
      <c r="D91" s="49"/>
      <c r="E91" s="50"/>
      <c r="F91" s="7">
        <v>101599</v>
      </c>
      <c r="H91" s="62">
        <f>D91-E81</f>
        <v>0</v>
      </c>
    </row>
    <row r="92" spans="1:8" x14ac:dyDescent="0.5">
      <c r="A92" s="97">
        <v>101980</v>
      </c>
      <c r="B92" s="10" t="s">
        <v>80</v>
      </c>
      <c r="C92" s="17" t="s">
        <v>12</v>
      </c>
      <c r="D92" s="49"/>
      <c r="E92" s="5"/>
      <c r="F92" s="7"/>
      <c r="H92" s="62">
        <f>E92-D79</f>
        <v>0</v>
      </c>
    </row>
    <row r="93" spans="1:8" x14ac:dyDescent="0.5">
      <c r="A93" s="97">
        <v>101980</v>
      </c>
      <c r="B93" s="10" t="s">
        <v>80</v>
      </c>
      <c r="C93" s="69" t="s">
        <v>83</v>
      </c>
      <c r="D93" s="49"/>
      <c r="E93" s="50"/>
      <c r="F93" s="7">
        <v>101592</v>
      </c>
      <c r="H93" s="62">
        <f>D93-E12</f>
        <v>0</v>
      </c>
    </row>
    <row r="94" spans="1:8" x14ac:dyDescent="0.5">
      <c r="A94" s="97">
        <v>101980</v>
      </c>
      <c r="B94" s="10" t="s">
        <v>80</v>
      </c>
      <c r="C94" s="17" t="s">
        <v>51</v>
      </c>
      <c r="D94" s="49"/>
      <c r="E94" s="50"/>
      <c r="F94" s="7"/>
      <c r="H94" s="62">
        <f>E94-D13</f>
        <v>0</v>
      </c>
    </row>
    <row r="95" spans="1:8" s="36" customFormat="1" x14ac:dyDescent="0.5">
      <c r="A95" s="97">
        <v>101980</v>
      </c>
      <c r="B95" s="10" t="s">
        <v>80</v>
      </c>
      <c r="C95" s="69" t="s">
        <v>14</v>
      </c>
      <c r="D95" s="49"/>
      <c r="E95" s="50"/>
      <c r="F95" s="7">
        <v>100711</v>
      </c>
      <c r="H95" s="62">
        <f>D95-E40</f>
        <v>0</v>
      </c>
    </row>
    <row r="96" spans="1:8" s="36" customFormat="1" x14ac:dyDescent="0.5">
      <c r="A96" s="98">
        <v>101980</v>
      </c>
      <c r="B96" s="87" t="s">
        <v>80</v>
      </c>
      <c r="C96" s="91" t="s">
        <v>84</v>
      </c>
      <c r="D96" s="54"/>
      <c r="E96" s="50"/>
      <c r="F96" s="7"/>
      <c r="H96" s="62">
        <f>E96-D100</f>
        <v>0</v>
      </c>
    </row>
    <row r="97" spans="1:11" x14ac:dyDescent="0.5">
      <c r="A97" s="87">
        <v>100749</v>
      </c>
      <c r="B97" s="87" t="s">
        <v>85</v>
      </c>
      <c r="C97" s="88" t="s">
        <v>79</v>
      </c>
      <c r="D97" s="54"/>
      <c r="E97" s="50"/>
      <c r="F97" s="7">
        <v>101600</v>
      </c>
      <c r="H97" s="62">
        <f>D97-E86</f>
        <v>0</v>
      </c>
    </row>
    <row r="98" spans="1:11" x14ac:dyDescent="0.5">
      <c r="A98" s="87">
        <v>100749</v>
      </c>
      <c r="B98" s="87" t="s">
        <v>85</v>
      </c>
      <c r="C98" s="88" t="s">
        <v>86</v>
      </c>
      <c r="D98" s="54"/>
      <c r="E98" s="50"/>
      <c r="F98" s="7">
        <v>101601</v>
      </c>
      <c r="H98" s="62">
        <f>D98-E111</f>
        <v>0</v>
      </c>
    </row>
    <row r="99" spans="1:11" x14ac:dyDescent="0.5">
      <c r="A99" s="87">
        <v>100748</v>
      </c>
      <c r="B99" s="87" t="s">
        <v>87</v>
      </c>
      <c r="C99" s="88" t="s">
        <v>88</v>
      </c>
      <c r="D99" s="54"/>
      <c r="E99" s="50"/>
      <c r="F99" s="7">
        <v>101598</v>
      </c>
      <c r="H99" s="62">
        <f>D99-E76</f>
        <v>0</v>
      </c>
    </row>
    <row r="100" spans="1:11" x14ac:dyDescent="0.5">
      <c r="A100" s="87">
        <v>100748</v>
      </c>
      <c r="B100" s="87" t="s">
        <v>87</v>
      </c>
      <c r="C100" s="88" t="s">
        <v>89</v>
      </c>
      <c r="D100" s="92"/>
      <c r="E100" s="50"/>
      <c r="F100" s="7">
        <v>101980</v>
      </c>
      <c r="H100" s="62">
        <f>D100-E96</f>
        <v>0</v>
      </c>
    </row>
    <row r="101" spans="1:11" x14ac:dyDescent="0.5">
      <c r="A101" s="87">
        <v>100748</v>
      </c>
      <c r="B101" s="87" t="s">
        <v>87</v>
      </c>
      <c r="C101" s="89" t="s">
        <v>90</v>
      </c>
      <c r="D101" s="92"/>
      <c r="E101" s="50"/>
      <c r="F101" s="7"/>
      <c r="H101" s="62">
        <f>E101-D87</f>
        <v>0</v>
      </c>
      <c r="K101" s="1" t="s">
        <v>159</v>
      </c>
    </row>
    <row r="102" spans="1:11" x14ac:dyDescent="0.5">
      <c r="A102" s="87">
        <v>100748</v>
      </c>
      <c r="B102" s="87" t="s">
        <v>87</v>
      </c>
      <c r="C102" s="88" t="s">
        <v>79</v>
      </c>
      <c r="D102" s="92"/>
      <c r="E102" s="50"/>
      <c r="F102" s="7"/>
      <c r="H102" s="62">
        <f>D102-E103</f>
        <v>0</v>
      </c>
      <c r="I102" s="119" t="s">
        <v>168</v>
      </c>
      <c r="K102" s="1" t="s">
        <v>159</v>
      </c>
    </row>
    <row r="103" spans="1:11" x14ac:dyDescent="0.5">
      <c r="A103" s="10">
        <v>101600</v>
      </c>
      <c r="B103" s="10" t="s">
        <v>74</v>
      </c>
      <c r="C103" s="91" t="s">
        <v>84</v>
      </c>
      <c r="D103" s="49"/>
      <c r="E103" s="50"/>
      <c r="F103" s="39"/>
      <c r="H103" s="62">
        <f>E103-D102</f>
        <v>0</v>
      </c>
      <c r="I103" s="119" t="s">
        <v>168</v>
      </c>
    </row>
    <row r="104" spans="1:11" x14ac:dyDescent="0.5">
      <c r="A104" s="95">
        <v>100749</v>
      </c>
      <c r="B104" s="96" t="s">
        <v>85</v>
      </c>
      <c r="C104" s="53" t="s">
        <v>144</v>
      </c>
      <c r="D104" s="92"/>
      <c r="E104" s="50"/>
      <c r="F104" s="7"/>
      <c r="H104" s="62">
        <f>E104-D105</f>
        <v>0</v>
      </c>
    </row>
    <row r="105" spans="1:11" x14ac:dyDescent="0.5">
      <c r="A105" s="87">
        <v>100747</v>
      </c>
      <c r="B105" s="89" t="s">
        <v>78</v>
      </c>
      <c r="C105" s="70" t="s">
        <v>145</v>
      </c>
      <c r="D105" s="92"/>
      <c r="E105" s="50"/>
      <c r="F105" s="7"/>
      <c r="H105" s="62">
        <f>D105-E104</f>
        <v>0</v>
      </c>
    </row>
    <row r="106" spans="1:11" x14ac:dyDescent="0.5">
      <c r="A106" s="87">
        <v>100747</v>
      </c>
      <c r="B106" s="89" t="s">
        <v>78</v>
      </c>
      <c r="C106" s="93" t="s">
        <v>146</v>
      </c>
      <c r="D106" s="92"/>
      <c r="E106" s="50"/>
      <c r="F106" s="7"/>
      <c r="H106" s="62">
        <f>E106-D107</f>
        <v>0</v>
      </c>
    </row>
    <row r="107" spans="1:11" x14ac:dyDescent="0.5">
      <c r="A107" s="87">
        <v>101980</v>
      </c>
      <c r="B107" s="89" t="s">
        <v>147</v>
      </c>
      <c r="C107" s="70" t="s">
        <v>148</v>
      </c>
      <c r="D107" s="92"/>
      <c r="E107" s="50"/>
      <c r="F107" s="7"/>
      <c r="H107" s="62">
        <f>D107-E106</f>
        <v>0</v>
      </c>
    </row>
    <row r="108" spans="1:11" s="2" customFormat="1" x14ac:dyDescent="0.5">
      <c r="A108" s="139" t="s">
        <v>91</v>
      </c>
      <c r="B108" s="140"/>
      <c r="C108" s="141"/>
      <c r="D108" s="8"/>
      <c r="E108" s="8"/>
      <c r="F108" s="7"/>
      <c r="H108" s="60"/>
    </row>
    <row r="109" spans="1:11" s="2" customFormat="1" x14ac:dyDescent="0.5">
      <c r="A109" s="19">
        <v>101601</v>
      </c>
      <c r="B109" s="44" t="s">
        <v>92</v>
      </c>
      <c r="C109" s="72" t="s">
        <v>93</v>
      </c>
      <c r="D109" s="9"/>
      <c r="E109" s="5"/>
      <c r="F109" s="7">
        <v>100826</v>
      </c>
      <c r="H109" s="64">
        <f>D109-E154</f>
        <v>0</v>
      </c>
    </row>
    <row r="110" spans="1:11" s="2" customFormat="1" x14ac:dyDescent="0.5">
      <c r="A110" s="19">
        <v>101601</v>
      </c>
      <c r="B110" s="10" t="s">
        <v>92</v>
      </c>
      <c r="C110" s="10" t="s">
        <v>94</v>
      </c>
      <c r="D110" s="9"/>
      <c r="E110" s="5"/>
      <c r="F110" s="7"/>
      <c r="H110" s="60"/>
    </row>
    <row r="111" spans="1:11" s="2" customFormat="1" x14ac:dyDescent="0.5">
      <c r="A111" s="19">
        <v>101601</v>
      </c>
      <c r="B111" s="10" t="s">
        <v>92</v>
      </c>
      <c r="C111" s="10" t="s">
        <v>76</v>
      </c>
      <c r="D111" s="9"/>
      <c r="E111" s="5"/>
      <c r="F111" s="7"/>
      <c r="H111" s="64">
        <f>E111-D98</f>
        <v>0</v>
      </c>
    </row>
    <row r="112" spans="1:11" x14ac:dyDescent="0.5">
      <c r="A112" s="121" t="s">
        <v>95</v>
      </c>
      <c r="B112" s="130"/>
      <c r="C112" s="131"/>
      <c r="D112" s="8"/>
      <c r="E112" s="8"/>
      <c r="F112" s="7"/>
      <c r="H112" s="61"/>
    </row>
    <row r="113" spans="1:9" x14ac:dyDescent="0.5">
      <c r="A113" s="21">
        <v>101602</v>
      </c>
      <c r="B113" s="7" t="s">
        <v>96</v>
      </c>
      <c r="C113" s="7" t="s">
        <v>97</v>
      </c>
      <c r="D113" s="6"/>
      <c r="E113" s="5"/>
      <c r="F113" s="7"/>
      <c r="H113" s="62">
        <f>E113-D126</f>
        <v>0</v>
      </c>
    </row>
    <row r="114" spans="1:9" x14ac:dyDescent="0.5">
      <c r="A114" s="21">
        <v>101602</v>
      </c>
      <c r="B114" s="56" t="s">
        <v>96</v>
      </c>
      <c r="C114" s="68" t="s">
        <v>98</v>
      </c>
      <c r="D114" s="6"/>
      <c r="E114" s="5"/>
      <c r="F114" s="7">
        <v>101604</v>
      </c>
      <c r="H114" s="62">
        <f>D114-E125</f>
        <v>0</v>
      </c>
    </row>
    <row r="115" spans="1:9" x14ac:dyDescent="0.5">
      <c r="A115" s="21">
        <v>101602</v>
      </c>
      <c r="B115" s="56" t="s">
        <v>96</v>
      </c>
      <c r="C115" s="68" t="s">
        <v>99</v>
      </c>
      <c r="D115" s="6"/>
      <c r="E115" s="5"/>
      <c r="F115" s="7">
        <v>101603</v>
      </c>
      <c r="H115" s="62">
        <f>D115-E118</f>
        <v>0</v>
      </c>
    </row>
    <row r="116" spans="1:9" s="2" customFormat="1" x14ac:dyDescent="0.5">
      <c r="A116" s="21">
        <v>101602</v>
      </c>
      <c r="B116" s="7" t="s">
        <v>136</v>
      </c>
      <c r="C116" s="7" t="s">
        <v>100</v>
      </c>
      <c r="D116" s="6"/>
      <c r="E116" s="5"/>
      <c r="F116" s="7"/>
      <c r="H116" s="64">
        <f>E116-D119</f>
        <v>0</v>
      </c>
    </row>
    <row r="117" spans="1:9" s="2" customFormat="1" x14ac:dyDescent="0.5">
      <c r="A117" s="121" t="s">
        <v>101</v>
      </c>
      <c r="B117" s="122"/>
      <c r="C117" s="123"/>
      <c r="D117" s="8"/>
      <c r="E117" s="8"/>
      <c r="F117" s="17"/>
      <c r="H117" s="60"/>
    </row>
    <row r="118" spans="1:9" s="2" customFormat="1" x14ac:dyDescent="0.5">
      <c r="A118" s="21">
        <v>101603</v>
      </c>
      <c r="B118" s="56" t="s">
        <v>102</v>
      </c>
      <c r="C118" s="56" t="s">
        <v>103</v>
      </c>
      <c r="D118" s="6"/>
      <c r="E118" s="5"/>
      <c r="F118" s="7">
        <v>101602</v>
      </c>
      <c r="H118" s="64">
        <f>E118-D115</f>
        <v>0</v>
      </c>
    </row>
    <row r="119" spans="1:9" s="2" customFormat="1" x14ac:dyDescent="0.5">
      <c r="A119" s="21">
        <v>101603</v>
      </c>
      <c r="B119" s="7" t="s">
        <v>102</v>
      </c>
      <c r="C119" s="71" t="s">
        <v>104</v>
      </c>
      <c r="D119" s="6"/>
      <c r="E119" s="5"/>
      <c r="F119" s="39">
        <v>101602</v>
      </c>
      <c r="H119" s="64">
        <f>D119-E116</f>
        <v>0</v>
      </c>
    </row>
    <row r="120" spans="1:9" s="2" customFormat="1" x14ac:dyDescent="0.5">
      <c r="A120" s="21">
        <v>101603</v>
      </c>
      <c r="B120" s="7" t="s">
        <v>102</v>
      </c>
      <c r="C120" s="56" t="s">
        <v>151</v>
      </c>
      <c r="D120" s="6"/>
      <c r="E120" s="5"/>
      <c r="F120" s="7">
        <v>101602</v>
      </c>
      <c r="H120" s="64">
        <f>E120-D68</f>
        <v>0</v>
      </c>
    </row>
    <row r="121" spans="1:9" s="2" customFormat="1" x14ac:dyDescent="0.5">
      <c r="A121" s="21">
        <v>101603</v>
      </c>
      <c r="B121" s="7" t="s">
        <v>154</v>
      </c>
      <c r="C121" s="68" t="s">
        <v>153</v>
      </c>
      <c r="D121" s="6"/>
      <c r="E121" s="5"/>
      <c r="F121" s="17"/>
      <c r="H121" s="64">
        <f>D121-E69</f>
        <v>0</v>
      </c>
      <c r="I121" s="1" t="s">
        <v>152</v>
      </c>
    </row>
    <row r="122" spans="1:9" s="2" customFormat="1" x14ac:dyDescent="0.5">
      <c r="A122" s="21">
        <v>101603</v>
      </c>
      <c r="B122" s="7" t="s">
        <v>102</v>
      </c>
      <c r="C122" s="68" t="s">
        <v>158</v>
      </c>
      <c r="D122" s="6"/>
      <c r="E122" s="5"/>
      <c r="F122" s="7">
        <v>101602</v>
      </c>
      <c r="H122" s="64">
        <f>D122-E123</f>
        <v>0</v>
      </c>
      <c r="I122" s="1" t="s">
        <v>156</v>
      </c>
    </row>
    <row r="123" spans="1:9" s="2" customFormat="1" x14ac:dyDescent="0.5">
      <c r="A123" s="21">
        <v>101603</v>
      </c>
      <c r="B123" s="7" t="s">
        <v>154</v>
      </c>
      <c r="C123" s="7" t="s">
        <v>157</v>
      </c>
      <c r="D123" s="6"/>
      <c r="E123" s="5"/>
      <c r="F123" s="17"/>
      <c r="H123" s="64">
        <f>E123-D122</f>
        <v>0</v>
      </c>
      <c r="I123" s="1" t="s">
        <v>156</v>
      </c>
    </row>
    <row r="124" spans="1:9" s="2" customFormat="1" x14ac:dyDescent="0.5">
      <c r="A124" s="121" t="s">
        <v>105</v>
      </c>
      <c r="B124" s="122"/>
      <c r="C124" s="123"/>
      <c r="D124" s="8"/>
      <c r="E124" s="8"/>
      <c r="F124" s="17"/>
      <c r="H124" s="60"/>
    </row>
    <row r="125" spans="1:9" s="2" customFormat="1" x14ac:dyDescent="0.5">
      <c r="A125" s="21">
        <v>101604</v>
      </c>
      <c r="B125" s="7" t="s">
        <v>106</v>
      </c>
      <c r="C125" s="7" t="s">
        <v>103</v>
      </c>
      <c r="D125" s="6"/>
      <c r="E125" s="5"/>
      <c r="F125" s="7"/>
      <c r="H125" s="64">
        <f>E125-D114</f>
        <v>0</v>
      </c>
    </row>
    <row r="126" spans="1:9" s="2" customFormat="1" x14ac:dyDescent="0.5">
      <c r="A126" s="21">
        <v>101604</v>
      </c>
      <c r="B126" s="39" t="s">
        <v>106</v>
      </c>
      <c r="C126" s="71" t="s">
        <v>104</v>
      </c>
      <c r="D126" s="6"/>
      <c r="E126" s="5"/>
      <c r="F126" s="39">
        <v>101602</v>
      </c>
      <c r="H126" s="64">
        <f>D126-E113</f>
        <v>0</v>
      </c>
    </row>
    <row r="127" spans="1:9" s="2" customFormat="1" x14ac:dyDescent="0.5">
      <c r="A127" s="21">
        <v>101604</v>
      </c>
      <c r="B127" s="39" t="s">
        <v>106</v>
      </c>
      <c r="C127" s="39" t="s">
        <v>107</v>
      </c>
      <c r="D127" s="9"/>
      <c r="E127" s="5"/>
      <c r="F127" s="7"/>
      <c r="H127" s="64">
        <f>E127-D132</f>
        <v>0</v>
      </c>
    </row>
    <row r="128" spans="1:9" s="2" customFormat="1" x14ac:dyDescent="0.5">
      <c r="A128" s="21">
        <v>101604</v>
      </c>
      <c r="B128" s="39" t="s">
        <v>106</v>
      </c>
      <c r="C128" s="71" t="s">
        <v>149</v>
      </c>
      <c r="D128" s="9"/>
      <c r="E128" s="5"/>
      <c r="F128" s="7"/>
      <c r="H128" s="64">
        <f>D128-E133</f>
        <v>0</v>
      </c>
    </row>
    <row r="129" spans="1:8" s="2" customFormat="1" x14ac:dyDescent="0.5">
      <c r="A129" s="134" t="s">
        <v>108</v>
      </c>
      <c r="B129" s="135"/>
      <c r="C129" s="136"/>
      <c r="D129" s="16"/>
      <c r="E129" s="8"/>
      <c r="F129" s="7"/>
      <c r="H129" s="60"/>
    </row>
    <row r="130" spans="1:8" s="2" customFormat="1" x14ac:dyDescent="0.5">
      <c r="A130" s="19">
        <v>101605</v>
      </c>
      <c r="B130" s="15" t="s">
        <v>109</v>
      </c>
      <c r="C130" s="73" t="s">
        <v>110</v>
      </c>
      <c r="D130" s="6"/>
      <c r="E130" s="5"/>
      <c r="F130" s="7">
        <v>101606</v>
      </c>
      <c r="H130" s="64">
        <f>D130-E137</f>
        <v>0</v>
      </c>
    </row>
    <row r="131" spans="1:8" s="2" customFormat="1" x14ac:dyDescent="0.5">
      <c r="A131" s="19">
        <v>101605</v>
      </c>
      <c r="B131" s="7" t="s">
        <v>109</v>
      </c>
      <c r="C131" s="7" t="s">
        <v>111</v>
      </c>
      <c r="D131" s="6"/>
      <c r="E131" s="5"/>
      <c r="F131" s="7"/>
      <c r="H131" s="64">
        <f>E131-D135</f>
        <v>0</v>
      </c>
    </row>
    <row r="132" spans="1:8" s="2" customFormat="1" x14ac:dyDescent="0.5">
      <c r="A132" s="19">
        <v>101605</v>
      </c>
      <c r="B132" s="7" t="s">
        <v>109</v>
      </c>
      <c r="C132" s="68" t="s">
        <v>98</v>
      </c>
      <c r="D132" s="6"/>
      <c r="E132" s="5"/>
      <c r="F132" s="7">
        <v>101604</v>
      </c>
      <c r="H132" s="64">
        <f>D132-E127</f>
        <v>0</v>
      </c>
    </row>
    <row r="133" spans="1:8" s="2" customFormat="1" x14ac:dyDescent="0.5">
      <c r="A133" s="19">
        <v>101605</v>
      </c>
      <c r="B133" s="7" t="s">
        <v>109</v>
      </c>
      <c r="C133" s="82" t="s">
        <v>150</v>
      </c>
      <c r="D133" s="6"/>
      <c r="E133" s="5"/>
      <c r="F133" s="7">
        <v>101604</v>
      </c>
      <c r="H133" s="64">
        <f>E133-D128</f>
        <v>0</v>
      </c>
    </row>
    <row r="134" spans="1:8" s="2" customFormat="1" x14ac:dyDescent="0.5">
      <c r="A134" s="121" t="s">
        <v>112</v>
      </c>
      <c r="B134" s="122"/>
      <c r="C134" s="123"/>
      <c r="D134" s="8"/>
      <c r="E134" s="8"/>
      <c r="F134" s="7"/>
      <c r="H134" s="60"/>
    </row>
    <row r="135" spans="1:8" s="2" customFormat="1" x14ac:dyDescent="0.5">
      <c r="A135" s="34">
        <v>101606</v>
      </c>
      <c r="B135" s="7" t="s">
        <v>113</v>
      </c>
      <c r="C135" s="68" t="s">
        <v>114</v>
      </c>
      <c r="D135" s="6"/>
      <c r="E135" s="5"/>
      <c r="F135" s="7">
        <v>101605</v>
      </c>
      <c r="H135" s="64">
        <f>D135-E131</f>
        <v>0</v>
      </c>
    </row>
    <row r="136" spans="1:8" s="2" customFormat="1" x14ac:dyDescent="0.5">
      <c r="A136" s="34">
        <v>101606</v>
      </c>
      <c r="B136" s="56" t="s">
        <v>113</v>
      </c>
      <c r="C136" s="68" t="s">
        <v>115</v>
      </c>
      <c r="D136" s="11"/>
      <c r="E136" s="46"/>
      <c r="F136" s="7">
        <v>100800</v>
      </c>
      <c r="H136" s="64">
        <f>D136-E139</f>
        <v>0</v>
      </c>
    </row>
    <row r="137" spans="1:8" s="2" customFormat="1" x14ac:dyDescent="0.5">
      <c r="A137" s="34">
        <v>101606</v>
      </c>
      <c r="B137" s="56" t="s">
        <v>113</v>
      </c>
      <c r="C137" s="56" t="s">
        <v>116</v>
      </c>
      <c r="D137" s="6"/>
      <c r="E137" s="46"/>
      <c r="F137" s="7"/>
      <c r="H137" s="64">
        <f>E137-D130</f>
        <v>0</v>
      </c>
    </row>
    <row r="138" spans="1:8" s="2" customFormat="1" x14ac:dyDescent="0.5">
      <c r="A138" s="42" t="s">
        <v>117</v>
      </c>
      <c r="B138" s="43"/>
      <c r="C138" s="43"/>
      <c r="D138" s="43"/>
      <c r="E138" s="47"/>
      <c r="F138" s="7"/>
      <c r="H138" s="60"/>
    </row>
    <row r="139" spans="1:8" s="2" customFormat="1" x14ac:dyDescent="0.5">
      <c r="A139" s="21">
        <v>100800</v>
      </c>
      <c r="B139" s="7" t="s">
        <v>118</v>
      </c>
      <c r="C139" s="7" t="s">
        <v>119</v>
      </c>
      <c r="D139" s="11"/>
      <c r="E139" s="46"/>
      <c r="F139" s="7"/>
      <c r="H139" s="64">
        <f>E139-D136</f>
        <v>0</v>
      </c>
    </row>
    <row r="140" spans="1:8" s="2" customFormat="1" x14ac:dyDescent="0.5">
      <c r="A140" s="121" t="s">
        <v>120</v>
      </c>
      <c r="B140" s="122"/>
      <c r="C140" s="123"/>
      <c r="D140" s="8"/>
      <c r="E140" s="8"/>
      <c r="F140" s="7"/>
      <c r="H140" s="60"/>
    </row>
    <row r="141" spans="1:8" s="2" customFormat="1" x14ac:dyDescent="0.5">
      <c r="A141" s="21">
        <v>101609</v>
      </c>
      <c r="B141" s="7" t="s">
        <v>121</v>
      </c>
      <c r="C141" s="7" t="s">
        <v>122</v>
      </c>
      <c r="D141" s="6"/>
      <c r="E141" s="5"/>
      <c r="F141" s="7"/>
      <c r="H141" s="64">
        <f>E141-D143</f>
        <v>0</v>
      </c>
    </row>
    <row r="142" spans="1:8" s="2" customFormat="1" x14ac:dyDescent="0.5">
      <c r="A142" s="21">
        <v>101609</v>
      </c>
      <c r="B142" s="7" t="s">
        <v>121</v>
      </c>
      <c r="C142" s="68" t="s">
        <v>123</v>
      </c>
      <c r="D142" s="6"/>
      <c r="E142" s="5"/>
      <c r="F142" s="7">
        <v>101610</v>
      </c>
      <c r="H142" s="64">
        <f>D142-E146</f>
        <v>0</v>
      </c>
    </row>
    <row r="143" spans="1:8" s="2" customFormat="1" x14ac:dyDescent="0.5">
      <c r="A143" s="21"/>
      <c r="B143" s="7" t="s">
        <v>124</v>
      </c>
      <c r="C143" s="68" t="s">
        <v>125</v>
      </c>
      <c r="D143" s="6"/>
      <c r="E143" s="5"/>
      <c r="F143" s="7">
        <v>101609</v>
      </c>
      <c r="H143" s="64">
        <f>D143-E141</f>
        <v>0</v>
      </c>
    </row>
    <row r="144" spans="1:8" s="2" customFormat="1" x14ac:dyDescent="0.5">
      <c r="A144" s="124" t="s">
        <v>126</v>
      </c>
      <c r="B144" s="125"/>
      <c r="C144" s="126"/>
      <c r="D144" s="8"/>
      <c r="E144" s="48"/>
      <c r="F144" s="7"/>
      <c r="H144" s="60"/>
    </row>
    <row r="145" spans="1:8" s="2" customFormat="1" x14ac:dyDescent="0.5">
      <c r="A145" s="10">
        <v>101610</v>
      </c>
      <c r="B145" s="10" t="s">
        <v>127</v>
      </c>
      <c r="C145" s="10" t="s">
        <v>128</v>
      </c>
      <c r="D145" s="9"/>
      <c r="E145" s="5"/>
      <c r="F145" s="7"/>
      <c r="H145" s="64">
        <f>E145-D149</f>
        <v>0</v>
      </c>
    </row>
    <row r="146" spans="1:8" s="2" customFormat="1" x14ac:dyDescent="0.5">
      <c r="A146" s="10">
        <v>101610</v>
      </c>
      <c r="B146" s="10" t="s">
        <v>127</v>
      </c>
      <c r="C146" s="10" t="s">
        <v>129</v>
      </c>
      <c r="D146" s="9"/>
      <c r="E146" s="5"/>
      <c r="F146" s="7"/>
      <c r="H146" s="65">
        <f>E146-D142</f>
        <v>0</v>
      </c>
    </row>
    <row r="147" spans="1:8" s="2" customFormat="1" x14ac:dyDescent="0.5">
      <c r="A147" s="10">
        <v>101610</v>
      </c>
      <c r="B147" s="10" t="s">
        <v>127</v>
      </c>
      <c r="C147" s="72" t="s">
        <v>130</v>
      </c>
      <c r="D147" s="9"/>
      <c r="E147" s="5"/>
      <c r="F147" s="7">
        <v>101611</v>
      </c>
      <c r="H147" s="64">
        <f>D147-E150</f>
        <v>0</v>
      </c>
    </row>
    <row r="148" spans="1:8" s="2" customFormat="1" x14ac:dyDescent="0.5">
      <c r="A148" s="142" t="s">
        <v>131</v>
      </c>
      <c r="B148" s="142"/>
      <c r="C148" s="142"/>
      <c r="D148" s="16"/>
      <c r="E148" s="8"/>
      <c r="F148" s="7"/>
      <c r="H148" s="60"/>
    </row>
    <row r="149" spans="1:8" s="35" customFormat="1" x14ac:dyDescent="0.5">
      <c r="A149" s="10">
        <v>101611</v>
      </c>
      <c r="B149" s="10" t="s">
        <v>132</v>
      </c>
      <c r="C149" s="72" t="s">
        <v>133</v>
      </c>
      <c r="D149" s="9"/>
      <c r="E149" s="5"/>
      <c r="F149" s="7">
        <v>101610</v>
      </c>
      <c r="H149" s="64">
        <f>D149-E145</f>
        <v>0</v>
      </c>
    </row>
    <row r="150" spans="1:8" s="35" customFormat="1" x14ac:dyDescent="0.5">
      <c r="A150" s="10">
        <v>101611</v>
      </c>
      <c r="B150" s="10" t="s">
        <v>132</v>
      </c>
      <c r="C150" s="10" t="s">
        <v>134</v>
      </c>
      <c r="D150" s="9"/>
      <c r="E150" s="5"/>
      <c r="F150" s="7"/>
      <c r="H150" s="64">
        <f>E150-D147</f>
        <v>0</v>
      </c>
    </row>
    <row r="151" spans="1:8" s="2" customFormat="1" x14ac:dyDescent="0.5">
      <c r="A151" s="142" t="s">
        <v>135</v>
      </c>
      <c r="B151" s="142"/>
      <c r="C151" s="142"/>
      <c r="D151" s="16"/>
      <c r="E151" s="8"/>
      <c r="F151" s="7"/>
      <c r="H151" s="60"/>
    </row>
    <row r="152" spans="1:8" s="2" customFormat="1" x14ac:dyDescent="0.5">
      <c r="A152" s="10">
        <v>100825</v>
      </c>
      <c r="B152" s="10" t="s">
        <v>136</v>
      </c>
      <c r="C152" s="72" t="s">
        <v>137</v>
      </c>
      <c r="D152" s="9"/>
      <c r="E152" s="5"/>
      <c r="F152" s="7">
        <v>100826</v>
      </c>
      <c r="H152" s="64">
        <f>D152-E153</f>
        <v>0</v>
      </c>
    </row>
    <row r="153" spans="1:8" s="2" customFormat="1" x14ac:dyDescent="0.5">
      <c r="A153" s="10">
        <v>100826</v>
      </c>
      <c r="B153" s="10" t="s">
        <v>138</v>
      </c>
      <c r="C153" s="10" t="s">
        <v>139</v>
      </c>
      <c r="D153" s="9"/>
      <c r="E153" s="5"/>
      <c r="F153" s="7"/>
      <c r="H153" s="64">
        <f>E153-D152</f>
        <v>0</v>
      </c>
    </row>
    <row r="154" spans="1:8" s="2" customFormat="1" x14ac:dyDescent="0.5">
      <c r="A154" s="10">
        <v>100826</v>
      </c>
      <c r="B154" s="10" t="s">
        <v>138</v>
      </c>
      <c r="C154" s="10" t="s">
        <v>140</v>
      </c>
      <c r="D154" s="99"/>
      <c r="E154" s="5"/>
      <c r="F154" s="7"/>
      <c r="H154" s="64">
        <f>E154-D109</f>
        <v>0</v>
      </c>
    </row>
    <row r="155" spans="1:8" s="2" customFormat="1" ht="24" thickBot="1" x14ac:dyDescent="0.55000000000000004">
      <c r="A155" s="143" t="s">
        <v>141</v>
      </c>
      <c r="B155" s="144"/>
      <c r="C155" s="145"/>
      <c r="D155" s="52">
        <f>SUM(D5:D154)</f>
        <v>0</v>
      </c>
      <c r="E155" s="52">
        <f>SUM(E5:E154)</f>
        <v>0</v>
      </c>
      <c r="F155" s="79"/>
      <c r="H155" s="64">
        <f>SUM(H6:H154)</f>
        <v>0</v>
      </c>
    </row>
    <row r="156" spans="1:8" s="2" customFormat="1" x14ac:dyDescent="0.5">
      <c r="A156" s="1"/>
      <c r="B156" s="1"/>
      <c r="C156" s="1"/>
      <c r="D156" s="3"/>
      <c r="F156" s="1"/>
      <c r="H156" s="66"/>
    </row>
    <row r="157" spans="1:8" s="2" customFormat="1" x14ac:dyDescent="0.5">
      <c r="A157" s="1"/>
      <c r="B157" s="1"/>
      <c r="C157" s="1"/>
      <c r="D157" s="57">
        <f>D155-E155</f>
        <v>0</v>
      </c>
      <c r="E157" s="59">
        <f>SUM(E6:E154)-E14-E17-E21-E22-E33-E34-E35-E42-E44-E67-E75-E82-E85-E86-E96-E101-E141-E153</f>
        <v>0</v>
      </c>
      <c r="F157" s="1"/>
      <c r="H157" s="66"/>
    </row>
    <row r="158" spans="1:8" s="2" customFormat="1" x14ac:dyDescent="0.5">
      <c r="A158" s="1"/>
      <c r="B158" s="1"/>
      <c r="C158" s="1"/>
      <c r="D158" s="58" t="s">
        <v>142</v>
      </c>
      <c r="E158" s="58" t="s">
        <v>143</v>
      </c>
      <c r="F158" s="1"/>
      <c r="H158" s="66"/>
    </row>
    <row r="159" spans="1:8" x14ac:dyDescent="0.5">
      <c r="E159" s="3"/>
    </row>
  </sheetData>
  <mergeCells count="23">
    <mergeCell ref="A61:C61"/>
    <mergeCell ref="C3:C4"/>
    <mergeCell ref="A5:C5"/>
    <mergeCell ref="A16:C16"/>
    <mergeCell ref="A31:C31"/>
    <mergeCell ref="A54:C54"/>
    <mergeCell ref="A134:C134"/>
    <mergeCell ref="A65:C65"/>
    <mergeCell ref="B70:C70"/>
    <mergeCell ref="A71:C71"/>
    <mergeCell ref="A77:C77"/>
    <mergeCell ref="B83:C83"/>
    <mergeCell ref="A84:C84"/>
    <mergeCell ref="A108:C108"/>
    <mergeCell ref="A112:C112"/>
    <mergeCell ref="A117:C117"/>
    <mergeCell ref="A124:C124"/>
    <mergeCell ref="A129:C129"/>
    <mergeCell ref="A140:C140"/>
    <mergeCell ref="A144:C144"/>
    <mergeCell ref="A148:C148"/>
    <mergeCell ref="A151:C151"/>
    <mergeCell ref="A155:C155"/>
  </mergeCells>
  <pageMargins left="0.31496062992125984" right="0.31496062992125984" top="0.39370078740157483" bottom="0.35433070866141736" header="0.23622047244094491" footer="0.31496062992125984"/>
  <pageSetup paperSize="9" scale="56" fitToHeight="0" orientation="portrait" r:id="rId1"/>
  <rowBreaks count="1" manualBreakCount="1">
    <brk id="83" max="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10</vt:lpstr>
      <vt:lpstr>11</vt:lpstr>
      <vt:lpstr>12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'01'!Print_Titles</vt:lpstr>
      <vt:lpstr>'02'!Print_Titles</vt:lpstr>
      <vt:lpstr>'03'!Print_Titles</vt:lpstr>
      <vt:lpstr>'04'!Print_Titles</vt:lpstr>
      <vt:lpstr>'05'!Print_Titles</vt:lpstr>
      <vt:lpstr>'06'!Print_Titles</vt:lpstr>
      <vt:lpstr>'07'!Print_Titles</vt:lpstr>
      <vt:lpstr>'08'!Print_Titles</vt:lpstr>
      <vt:lpstr>'09'!Print_Titles</vt:lpstr>
      <vt:lpstr>'10'!Print_Titles</vt:lpstr>
      <vt:lpstr>'11'!Print_Titles</vt:lpstr>
      <vt:lpstr>'12'!Print_Titles</vt:lpstr>
    </vt:vector>
  </TitlesOfParts>
  <Manager/>
  <Company>Acer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Veriton</dc:creator>
  <cp:keywords/>
  <dc:description/>
  <cp:lastModifiedBy>CHALINEE CHIEOSUPPHAKIT</cp:lastModifiedBy>
  <cp:revision/>
  <dcterms:created xsi:type="dcterms:W3CDTF">2015-02-17T03:34:59Z</dcterms:created>
  <dcterms:modified xsi:type="dcterms:W3CDTF">2026-02-17T07:18:50Z</dcterms:modified>
  <cp:category/>
  <cp:contentStatus/>
</cp:coreProperties>
</file>