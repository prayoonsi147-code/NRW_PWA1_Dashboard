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ความยาวท่อ 69" sheetId="1" r:id="rId5"/>
    <sheet state="visible" name="นสส. 69" sheetId="2" r:id="rId6"/>
    <sheet state="visible" name="หยุดจ่ายน้ำ 69" sheetId="3" r:id="rId7"/>
  </sheets>
  <definedNames/>
  <calcPr/>
</workbook>
</file>

<file path=xl/sharedStrings.xml><?xml version="1.0" encoding="utf-8"?>
<sst xmlns="http://schemas.openxmlformats.org/spreadsheetml/2006/main" count="96" uniqueCount="53">
  <si>
    <t>ตัวชี้วัดประจำปีงบประมาณ 2569</t>
  </si>
  <si>
    <t>ผลสัมฤทธิ์โครงการลงทุนปรับปรุงอัตราน้ำสูญเสีย</t>
  </si>
  <si>
    <t>ข้อมูล ณ วันที่  16 มี.ค. 2569</t>
  </si>
  <si>
    <t>คอลัมน์ที่</t>
  </si>
  <si>
    <t>กปภ.ข.1</t>
  </si>
  <si>
    <t>เป้าหมาย
ปีงบ 2569</t>
  </si>
  <si>
    <t>ค่าเกณฑ์วัด</t>
  </si>
  <si>
    <t>ผลเกิดจริง</t>
  </si>
  <si>
    <t>คะแนน</t>
  </si>
  <si>
    <t>เกณฑ์</t>
  </si>
  <si>
    <t>เกณฑ์ตั้งต้น</t>
  </si>
  <si>
    <t>เลือกคอลัมน์</t>
  </si>
  <si>
    <t>interval</t>
  </si>
  <si>
    <t>หน่วยวัด : กม.</t>
  </si>
  <si>
    <t>อัตราน้ำสูญเสีย (%) กปภ. 22 สาขา</t>
  </si>
  <si>
    <t>ข้อมูล ณ วันที่  18 มี.ค. 2569</t>
  </si>
  <si>
    <t>ลำดับ</t>
  </si>
  <si>
    <t>กปภ.สาขา</t>
  </si>
  <si>
    <t>เป้าหมาย 
ปีงบ 69</t>
  </si>
  <si>
    <t>อัตราน้ำสูญเสียสะสม
(ต.ค. 68 - ม.ค. 68)</t>
  </si>
  <si>
    <t>น้ำสูญเสียจริง (ต.ค. 68 - ม.ค. 68)</t>
  </si>
  <si>
    <t>เป้าหมายเกิดจริง
ปีงบ 2569</t>
  </si>
  <si>
    <t>ผลต่างอัตราน้ำสูญเสียเกิดจริง-เป้าหมาย</t>
  </si>
  <si>
    <t>ลบ.ม./เดือน</t>
  </si>
  <si>
    <t>%</t>
  </si>
  <si>
    <t>% สะสม</t>
  </si>
  <si>
    <t>สาขา</t>
  </si>
  <si>
    <t>ชลบุรี</t>
  </si>
  <si>
    <t>พัทยา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</si>
  <si>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</si>
  <si>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</si>
  <si>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</si>
  <si>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</si>
  <si>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</si>
  <si>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</si>
  <si>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</si>
  <si>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</si>
  <si>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</si>
  <si>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</si>
  <si>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</si>
  <si>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</si>
  <si>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</si>
  <si>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</si>
  <si>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</si>
  <si>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</si>
  <si>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</si>
  <si>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</si>
  <si>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</si>
  <si>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</si>
  <si>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รวม กปภ.ข.1</t>
  </si>
  <si>
    <t>จำนวนครั้งที่หยุดจ่ายน้ำ กปภ. 22 สาขา</t>
  </si>
  <si>
    <t>ข้อมูล ณ วันที่  27 กุมภาพันธ์ 2569</t>
  </si>
  <si>
    <t>ผลเกิดจริง 
จำนวนครั้งที่หยุด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</si>
</sst>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0.0000"/>
  </numFmts>
  <fonts count="12">
    <font>
      <sz val="10.0"/>
      <color rgb="FF000000"/>
      <name val="Arial"/>
      <scheme val="minor"/>
    </font>
    <font>
      <b/>
      <sz val="13.0"/>
      <color theme="1"/>
      <name val="Sarabun"/>
    </font>
    <font>
      <sz val="12.0"/>
      <color theme="1"/>
      <name val="Sarabun"/>
    </font>
    <font>
      <sz val="11.0"/>
      <color theme="1"/>
      <name val="Sarabun"/>
    </font>
    <font>
      <b/>
      <sz val="12.0"/>
      <color theme="1"/>
      <name val="Sarabun"/>
    </font>
    <font/>
    <font>
      <b/>
      <sz val="14.0"/>
      <color theme="1"/>
      <name val="Sarabun"/>
    </font>
    <font>
      <sz val="14.0"/>
      <color theme="1"/>
      <name val="Sarabun"/>
    </font>
    <font>
      <b/>
      <sz val="13.0"/>
      <color theme="7"/>
      <name val="Sarabun"/>
    </font>
    <font>
      <sz val="13.0"/>
      <color theme="1"/>
      <name val="Sarabun"/>
    </font>
    <font>
      <sz val="13.0"/>
      <color rgb="FF000000"/>
      <name val="Sarabun"/>
    </font>
    <font>
      <sz val="16.0"/>
      <color rgb="FF000000"/>
      <name val="&quot;TH SarabunPSK&quot;"/>
    </font>
  </fonts>
  <fills count="12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BBC04"/>
        <bgColor rgb="FFFBBC0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theme="9"/>
        <bgColor theme="9"/>
      </patternFill>
    </fill>
    <fill>
      <patternFill patternType="solid">
        <fgColor rgb="FF46BDC6"/>
        <bgColor rgb="FF46BDC6"/>
      </patternFill>
    </fill>
    <fill>
      <patternFill patternType="solid">
        <fgColor rgb="FFD5A6BD"/>
        <bgColor rgb="FFD5A6BD"/>
      </patternFill>
    </fill>
    <fill>
      <patternFill patternType="solid">
        <fgColor rgb="FFC9DAF8"/>
        <bgColor rgb="FFC9DAF8"/>
      </patternFill>
    </fill>
    <fill>
      <patternFill patternType="solid">
        <fgColor rgb="FF9FC5E8"/>
        <bgColor rgb="FF9FC5E8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3" fillId="0" fontId="5" numFmtId="0" xfId="0" applyBorder="1" applyFont="1"/>
    <xf borderId="4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7" fillId="0" fontId="4" numFmtId="0" xfId="0" applyAlignment="1" applyBorder="1" applyFont="1">
      <alignment horizontal="center" readingOrder="0" shrinkToFit="0" vertical="center" wrapText="1"/>
    </xf>
    <xf borderId="7" fillId="0" fontId="2" numFmtId="164" xfId="0" applyAlignment="1" applyBorder="1" applyFont="1" applyNumberFormat="1">
      <alignment horizontal="center" readingOrder="0" shrinkToFit="0" vertical="center" wrapText="1"/>
    </xf>
    <xf borderId="7" fillId="0" fontId="2" numFmtId="0" xfId="0" applyAlignment="1" applyBorder="1" applyFon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2" numFmtId="165" xfId="0" applyAlignment="1" applyFont="1" applyNumberFormat="1">
      <alignment horizontal="center" shrinkToFit="0" vertical="center" wrapText="1"/>
    </xf>
    <xf borderId="0" fillId="0" fontId="2" numFmtId="164" xfId="0" applyAlignment="1" applyFont="1" applyNumberForma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shrinkToFit="0" vertical="center" wrapText="1"/>
    </xf>
    <xf borderId="0" fillId="0" fontId="7" numFmtId="2" xfId="0" applyAlignment="1" applyFont="1" applyNumberFormat="1">
      <alignment horizontal="center" shrinkToFit="0" vertical="center" wrapText="1"/>
    </xf>
    <xf borderId="0" fillId="0" fontId="7" numFmtId="0" xfId="0" applyAlignment="1" applyFont="1">
      <alignment horizontal="right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7" fillId="0" fontId="1" numFmtId="0" xfId="0" applyAlignment="1" applyBorder="1" applyFont="1">
      <alignment horizontal="center" readingOrder="0" shrinkToFit="0" vertical="center" wrapText="1"/>
    </xf>
    <xf borderId="7" fillId="0" fontId="8" numFmtId="0" xfId="0" applyAlignment="1" applyBorder="1" applyFont="1">
      <alignment horizontal="center" readingOrder="0" shrinkToFit="0" vertical="center" wrapText="1"/>
    </xf>
    <xf borderId="7" fillId="0" fontId="1" numFmtId="2" xfId="0" applyAlignment="1" applyBorder="1" applyFont="1" applyNumberFormat="1">
      <alignment horizontal="center" readingOrder="0" shrinkToFit="0" vertical="center" wrapText="1"/>
    </xf>
    <xf borderId="7" fillId="0" fontId="9" numFmtId="0" xfId="0" applyAlignment="1" applyBorder="1" applyFont="1">
      <alignment horizontal="center" readingOrder="0" shrinkToFit="0" vertical="center" wrapText="1"/>
    </xf>
    <xf borderId="7" fillId="0" fontId="9" numFmtId="0" xfId="0" applyAlignment="1" applyBorder="1" applyFont="1">
      <alignment horizontal="left" readingOrder="0" shrinkToFit="0" vertical="center" wrapText="1"/>
    </xf>
    <xf borderId="7" fillId="0" fontId="9" numFmtId="2" xfId="0" applyAlignment="1" applyBorder="1" applyFont="1" applyNumberFormat="1">
      <alignment horizontal="center" readingOrder="0" shrinkToFit="0" vertical="center" wrapText="1"/>
    </xf>
    <xf borderId="7" fillId="0" fontId="9" numFmtId="2" xfId="0" applyAlignment="1" applyBorder="1" applyFont="1" applyNumberFormat="1">
      <alignment horizontal="center" shrinkToFit="0" vertical="center" wrapText="1"/>
    </xf>
    <xf borderId="7" fillId="0" fontId="8" numFmtId="2" xfId="0" applyAlignment="1" applyBorder="1" applyFont="1" applyNumberFormat="1">
      <alignment horizontal="center" shrinkToFit="0" vertical="center" wrapText="1"/>
    </xf>
    <xf borderId="7" fillId="2" fontId="9" numFmtId="0" xfId="0" applyAlignment="1" applyBorder="1" applyFill="1" applyFont="1">
      <alignment horizontal="center" readingOrder="0" shrinkToFit="0" vertical="center" wrapText="1"/>
    </xf>
    <xf borderId="7" fillId="0" fontId="10" numFmtId="4" xfId="0" applyAlignment="1" applyBorder="1" applyFont="1" applyNumberFormat="1">
      <alignment horizontal="right" readingOrder="0" vertical="bottom"/>
    </xf>
    <xf borderId="7" fillId="3" fontId="10" numFmtId="4" xfId="0" applyAlignment="1" applyBorder="1" applyFill="1" applyFont="1" applyNumberFormat="1">
      <alignment horizontal="right" readingOrder="0" vertical="bottom"/>
    </xf>
    <xf borderId="4" fillId="0" fontId="10" numFmtId="4" xfId="0" applyAlignment="1" applyBorder="1" applyFont="1" applyNumberFormat="1">
      <alignment horizontal="right" readingOrder="0" vertical="bottom"/>
    </xf>
    <xf borderId="7" fillId="0" fontId="9" numFmtId="4" xfId="0" applyAlignment="1" applyBorder="1" applyFont="1" applyNumberFormat="1">
      <alignment horizontal="center" readingOrder="0" shrinkToFit="0" vertical="center" wrapText="1"/>
    </xf>
    <xf borderId="7" fillId="0" fontId="9" numFmtId="4" xfId="0" applyAlignment="1" applyBorder="1" applyFont="1" applyNumberFormat="1">
      <alignment horizontal="center" shrinkToFit="0" vertical="center" wrapText="1"/>
    </xf>
    <xf borderId="0" fillId="0" fontId="2" numFmtId="2" xfId="0" applyAlignment="1" applyFont="1" applyNumberFormat="1">
      <alignment horizontal="center" readingOrder="0" shrinkToFit="0" vertical="center" wrapText="1"/>
    </xf>
    <xf borderId="0" fillId="0" fontId="2" numFmtId="2" xfId="0" applyAlignment="1" applyFont="1" applyNumberFormat="1">
      <alignment horizontal="center" shrinkToFit="0" vertical="center" wrapText="1"/>
    </xf>
    <xf borderId="6" fillId="0" fontId="10" numFmtId="4" xfId="0" applyAlignment="1" applyBorder="1" applyFont="1" applyNumberFormat="1">
      <alignment horizontal="right" readingOrder="0" vertical="bottom"/>
    </xf>
    <xf borderId="6" fillId="4" fontId="10" numFmtId="4" xfId="0" applyAlignment="1" applyBorder="1" applyFill="1" applyFont="1" applyNumberFormat="1">
      <alignment horizontal="right" readingOrder="0" vertical="bottom"/>
    </xf>
    <xf borderId="8" fillId="0" fontId="10" numFmtId="4" xfId="0" applyAlignment="1" applyBorder="1" applyFont="1" applyNumberFormat="1">
      <alignment horizontal="right" readingOrder="0" vertical="bottom"/>
    </xf>
    <xf borderId="6" fillId="5" fontId="10" numFmtId="4" xfId="0" applyAlignment="1" applyBorder="1" applyFill="1" applyFont="1" applyNumberFormat="1">
      <alignment horizontal="right" readingOrder="0" vertical="bottom"/>
    </xf>
    <xf borderId="6" fillId="6" fontId="10" numFmtId="4" xfId="0" applyAlignment="1" applyBorder="1" applyFill="1" applyFont="1" applyNumberFormat="1">
      <alignment horizontal="right" readingOrder="0" vertical="bottom"/>
    </xf>
    <xf borderId="6" fillId="7" fontId="10" numFmtId="4" xfId="0" applyAlignment="1" applyBorder="1" applyFill="1" applyFont="1" applyNumberFormat="1">
      <alignment horizontal="right" readingOrder="0" vertical="bottom"/>
    </xf>
    <xf borderId="6" fillId="8" fontId="10" numFmtId="4" xfId="0" applyAlignment="1" applyBorder="1" applyFill="1" applyFont="1" applyNumberFormat="1">
      <alignment horizontal="right" readingOrder="0" vertical="bottom"/>
    </xf>
    <xf borderId="6" fillId="9" fontId="10" numFmtId="4" xfId="0" applyAlignment="1" applyBorder="1" applyFill="1" applyFont="1" applyNumberFormat="1">
      <alignment horizontal="right" readingOrder="0" vertical="bottom"/>
    </xf>
    <xf borderId="2" fillId="0" fontId="9" numFmtId="0" xfId="0" applyAlignment="1" applyBorder="1" applyFont="1">
      <alignment horizontal="center" readingOrder="0" shrinkToFit="0" vertical="center" wrapText="1"/>
    </xf>
    <xf borderId="4" fillId="0" fontId="9" numFmtId="0" xfId="0" applyAlignment="1" applyBorder="1" applyFont="1">
      <alignment horizontal="left" readingOrder="0" shrinkToFit="0" vertical="center" wrapText="1"/>
    </xf>
    <xf borderId="6" fillId="10" fontId="10" numFmtId="4" xfId="0" applyAlignment="1" applyBorder="1" applyFill="1" applyFont="1" applyNumberFormat="1">
      <alignment horizontal="right" readingOrder="0" vertical="bottom"/>
    </xf>
    <xf borderId="6" fillId="8" fontId="9" numFmtId="2" xfId="0" applyAlignment="1" applyBorder="1" applyFont="1" applyNumberFormat="1">
      <alignment horizontal="right" readingOrder="0" vertical="bottom"/>
    </xf>
    <xf borderId="8" fillId="10" fontId="9" numFmtId="4" xfId="0" applyAlignment="1" applyBorder="1" applyFont="1" applyNumberFormat="1">
      <alignment horizontal="right" readingOrder="0" vertical="bottom"/>
    </xf>
    <xf borderId="0" fillId="0" fontId="11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vertical="center" wrapText="1"/>
    </xf>
    <xf borderId="7" fillId="0" fontId="2" numFmtId="0" xfId="0" applyAlignment="1" applyBorder="1" applyFont="1">
      <alignment horizontal="left" readingOrder="0" shrinkToFit="0" vertical="center" wrapText="1"/>
    </xf>
    <xf borderId="7" fillId="0" fontId="2" numFmtId="1" xfId="0" applyAlignment="1" applyBorder="1" applyFont="1" applyNumberFormat="1">
      <alignment horizontal="center" readingOrder="0" shrinkToFit="0" vertical="center" wrapText="1"/>
    </xf>
    <xf borderId="7" fillId="0" fontId="2" numFmtId="1" xfId="0" applyAlignment="1" applyBorder="1" applyFont="1" applyNumberFormat="1">
      <alignment horizontal="center" shrinkToFit="0" vertical="center" wrapText="1"/>
    </xf>
    <xf borderId="7" fillId="0" fontId="2" numFmtId="2" xfId="0" applyAlignment="1" applyBorder="1" applyFont="1" applyNumberFormat="1">
      <alignment horizontal="center" readingOrder="0" shrinkToFit="0" vertical="center" wrapText="1"/>
    </xf>
    <xf borderId="2" fillId="11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shrinkToFit="0" vertical="center" wrapText="1"/>
    </xf>
    <xf borderId="7" fillId="11" fontId="4" numFmtId="1" xfId="0" applyAlignment="1" applyBorder="1" applyFont="1" applyNumberFormat="1">
      <alignment horizontal="center" readingOrder="0" shrinkToFit="0" vertical="center" wrapText="1"/>
    </xf>
    <xf borderId="7" fillId="11" fontId="4" numFmtId="1" xfId="0" applyAlignment="1" applyBorder="1" applyFont="1" applyNumberFormat="1">
      <alignment horizontal="center" shrinkToFit="0" vertical="center" wrapText="1"/>
    </xf>
    <xf borderId="7" fillId="11" fontId="4" numFmtId="2" xfId="0" applyAlignment="1" applyBorder="1" applyFont="1" applyNumberFormat="1">
      <alignment horizontal="center" readingOrder="0" shrinkToFit="0" vertical="center" wrapText="1"/>
    </xf>
  </cellXfs>
  <cellStyles count="1">
    <cellStyle xfId="0" name="Normal" builtinId="0"/>
  </cellStyles>
  <dxfs count="8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>
        <color rgb="FF000000"/>
      </font>
      <fill>
        <patternFill patternType="solid">
          <fgColor rgb="FF46BDC6"/>
          <bgColor rgb="FF46BDC6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46BDC6"/>
          <bgColor rgb="FF46BDC6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>
        <color rgb="FFFF0000"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8.5" customHeight="1">
      <c r="A1" s="1"/>
      <c r="B1" s="1" t="s">
        <v>0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ht="21.0" customHeight="1">
      <c r="A2" s="3"/>
      <c r="B2" s="3" t="s">
        <v>1</v>
      </c>
      <c r="K2" s="2"/>
      <c r="L2" s="2"/>
      <c r="M2" s="2"/>
      <c r="N2" s="2"/>
      <c r="O2" s="2"/>
      <c r="P2" s="2"/>
      <c r="Q2" s="2"/>
      <c r="R2" s="2"/>
      <c r="S2" s="3"/>
      <c r="T2" s="3"/>
      <c r="U2" s="3"/>
      <c r="V2" s="3"/>
      <c r="W2" s="3"/>
      <c r="X2" s="3"/>
      <c r="Y2" s="2"/>
      <c r="Z2" s="2"/>
      <c r="AA2" s="2"/>
    </row>
    <row r="3" ht="21.0" customHeight="1">
      <c r="A3" s="2"/>
      <c r="B3" s="2"/>
      <c r="C3" s="2"/>
      <c r="D3" s="2"/>
      <c r="E3" s="2"/>
      <c r="F3" s="2"/>
      <c r="G3" s="2"/>
      <c r="H3" s="2"/>
      <c r="I3" s="4" t="s">
        <v>2</v>
      </c>
      <c r="K3" s="2"/>
      <c r="L3" s="2"/>
      <c r="M3" s="2"/>
      <c r="N3" s="2"/>
      <c r="O3" s="2"/>
      <c r="P3" s="2"/>
      <c r="Q3" s="2"/>
      <c r="R3" s="2"/>
      <c r="S3" s="3" t="s">
        <v>3</v>
      </c>
      <c r="Y3" s="2"/>
      <c r="Z3" s="2"/>
      <c r="AA3" s="2"/>
    </row>
    <row r="4" ht="24.75" customHeight="1">
      <c r="A4" s="5"/>
      <c r="B4" s="6" t="s">
        <v>4</v>
      </c>
      <c r="C4" s="6" t="s">
        <v>5</v>
      </c>
      <c r="D4" s="7" t="s">
        <v>6</v>
      </c>
      <c r="E4" s="8"/>
      <c r="F4" s="8"/>
      <c r="G4" s="8"/>
      <c r="H4" s="9"/>
      <c r="I4" s="6" t="s">
        <v>7</v>
      </c>
      <c r="J4" s="6" t="s">
        <v>8</v>
      </c>
      <c r="K4" s="2"/>
      <c r="L4" s="2"/>
      <c r="M4" s="2"/>
      <c r="N4" s="2"/>
      <c r="O4" s="2"/>
      <c r="P4" s="2"/>
      <c r="Q4" s="2"/>
      <c r="R4" s="2"/>
      <c r="S4" s="3">
        <v>1.0</v>
      </c>
      <c r="T4" s="3">
        <v>2.0</v>
      </c>
      <c r="U4" s="3">
        <v>3.0</v>
      </c>
      <c r="V4" s="3">
        <v>4.0</v>
      </c>
      <c r="W4" s="3">
        <v>5.0</v>
      </c>
      <c r="X4" s="3">
        <v>6.0</v>
      </c>
      <c r="Y4" s="2"/>
      <c r="Z4" s="2"/>
      <c r="AA4" s="2"/>
    </row>
    <row r="5" ht="27.0" customHeight="1">
      <c r="A5" s="5"/>
      <c r="B5" s="10"/>
      <c r="C5" s="11"/>
      <c r="D5" s="12">
        <v>1.0</v>
      </c>
      <c r="E5" s="12">
        <v>2.0</v>
      </c>
      <c r="F5" s="12">
        <v>3.0</v>
      </c>
      <c r="G5" s="12">
        <v>4.0</v>
      </c>
      <c r="H5" s="12">
        <v>5.0</v>
      </c>
      <c r="I5" s="11"/>
      <c r="J5" s="11"/>
      <c r="K5" s="2"/>
      <c r="L5" s="3" t="s">
        <v>9</v>
      </c>
      <c r="M5" s="3">
        <v>1.0</v>
      </c>
      <c r="N5" s="3">
        <v>2.0</v>
      </c>
      <c r="O5" s="3">
        <v>3.0</v>
      </c>
      <c r="P5" s="3">
        <v>4.0</v>
      </c>
      <c r="Q5" s="3">
        <v>5.0</v>
      </c>
      <c r="R5" s="3" t="s">
        <v>10</v>
      </c>
      <c r="S5" s="3">
        <v>0.0</v>
      </c>
      <c r="T5" s="3">
        <v>1.0</v>
      </c>
      <c r="U5" s="3">
        <v>2.0</v>
      </c>
      <c r="V5" s="3">
        <v>3.0</v>
      </c>
      <c r="W5" s="3">
        <v>4.0</v>
      </c>
      <c r="X5" s="3">
        <v>5.0</v>
      </c>
      <c r="Y5" s="3" t="s">
        <v>11</v>
      </c>
      <c r="Z5" s="3"/>
      <c r="AA5" s="3"/>
    </row>
    <row r="6" ht="36.0" customHeight="1">
      <c r="A6" s="5"/>
      <c r="B6" s="11"/>
      <c r="C6" s="13">
        <f>H6</f>
        <v>14.566</v>
      </c>
      <c r="D6" s="14">
        <f t="shared" ref="D6:G6" si="1">E6-M6</f>
        <v>10.406</v>
      </c>
      <c r="E6" s="14">
        <f t="shared" si="1"/>
        <v>11.446</v>
      </c>
      <c r="F6" s="14">
        <f t="shared" si="1"/>
        <v>12.486</v>
      </c>
      <c r="G6" s="14">
        <f t="shared" si="1"/>
        <v>13.526</v>
      </c>
      <c r="H6" s="14">
        <v>14.566</v>
      </c>
      <c r="I6" s="13">
        <v>2.33</v>
      </c>
      <c r="J6" s="12">
        <f>if(Z6=0,1,Z6)</f>
        <v>1</v>
      </c>
      <c r="K6" s="2"/>
      <c r="L6" s="3" t="s">
        <v>12</v>
      </c>
      <c r="M6" s="3">
        <v>1.04</v>
      </c>
      <c r="N6" s="3">
        <v>1.04</v>
      </c>
      <c r="O6" s="3">
        <v>1.04</v>
      </c>
      <c r="P6" s="3">
        <v>1.04</v>
      </c>
      <c r="Q6" s="3">
        <v>0.0</v>
      </c>
      <c r="R6" s="2">
        <f>if(I6&lt;D6,0,if(I6&lt;E6,1,if(I6&lt;F6,2,if(I6&lt;G6,3,if(I6&lt;H6,4,5)))))</f>
        <v>0</v>
      </c>
      <c r="S6" s="15">
        <f>R6</f>
        <v>0</v>
      </c>
      <c r="T6" s="16">
        <f>(I6-D6)/M6+1</f>
        <v>-6.765384615</v>
      </c>
      <c r="U6" s="16">
        <f>(I6-E6)/N6+2</f>
        <v>-6.765384615</v>
      </c>
      <c r="V6" s="16">
        <f>(I6-F6)/O6+3</f>
        <v>-6.765384615</v>
      </c>
      <c r="W6" s="16">
        <f>(I6-G6)/P6+4</f>
        <v>-6.765384615</v>
      </c>
      <c r="X6" s="15">
        <v>5.0</v>
      </c>
      <c r="Y6" s="2">
        <f>R6+1</f>
        <v>1</v>
      </c>
      <c r="Z6" s="17">
        <f>VLOOKUP(R6,S6:X6,Y6,1)</f>
        <v>0</v>
      </c>
      <c r="AA6" s="17"/>
    </row>
    <row r="7" ht="31.5" customHeight="1">
      <c r="A7" s="3"/>
      <c r="B7" s="3" t="s">
        <v>13</v>
      </c>
      <c r="C7" s="2"/>
      <c r="D7" s="2"/>
      <c r="E7" s="2"/>
      <c r="F7" s="2"/>
      <c r="G7" s="2"/>
      <c r="H7" s="2"/>
      <c r="I7" s="3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</row>
  </sheetData>
  <mergeCells count="9">
    <mergeCell ref="I4:I5"/>
    <mergeCell ref="J4:J5"/>
    <mergeCell ref="B1:J1"/>
    <mergeCell ref="B2:J2"/>
    <mergeCell ref="I3:J3"/>
    <mergeCell ref="S3:X3"/>
    <mergeCell ref="B4:B6"/>
    <mergeCell ref="C4:C5"/>
    <mergeCell ref="D4:H4"/>
  </mergeCells>
  <conditionalFormatting sqref="J6">
    <cfRule type="notContainsBlanks" dxfId="0" priority="1">
      <formula>LEN(TRIM(J6))&gt;0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15.38"/>
    <col customWidth="1" min="9" max="9" width="21.5"/>
    <col customWidth="1" min="10" max="10" width="9.25"/>
    <col customWidth="1" min="11" max="11" width="16.5"/>
    <col customWidth="1" min="12" max="13" width="9.5"/>
    <col customWidth="1" min="14" max="14" width="19.75"/>
    <col customWidth="1" min="15" max="15" width="21.5"/>
    <col customWidth="1" min="32" max="32" width="14.5"/>
  </cols>
  <sheetData>
    <row r="1" ht="28.5" customHeight="1">
      <c r="A1" s="18" t="s">
        <v>0</v>
      </c>
      <c r="K1" s="18"/>
      <c r="L1" s="18"/>
      <c r="M1" s="18"/>
      <c r="N1" s="18"/>
      <c r="O1" s="18"/>
      <c r="P1" s="1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</row>
    <row r="2">
      <c r="A2" s="18" t="s">
        <v>14</v>
      </c>
      <c r="K2" s="18"/>
      <c r="L2" s="18"/>
      <c r="M2" s="18"/>
      <c r="N2" s="18"/>
      <c r="O2" s="18"/>
      <c r="P2" s="3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</row>
    <row r="3">
      <c r="A3" s="18"/>
      <c r="B3" s="18"/>
      <c r="C3" s="18"/>
      <c r="D3" s="18"/>
      <c r="E3" s="18"/>
      <c r="F3" s="18"/>
      <c r="G3" s="18"/>
      <c r="H3" s="3"/>
      <c r="K3" s="19"/>
      <c r="L3" s="20"/>
      <c r="M3" s="21" t="s">
        <v>15</v>
      </c>
      <c r="P3" s="2"/>
      <c r="Q3" s="3"/>
      <c r="R3" s="3"/>
      <c r="S3" s="3"/>
      <c r="T3" s="3"/>
      <c r="U3" s="3"/>
      <c r="V3" s="3"/>
      <c r="W3" s="2"/>
      <c r="X3" s="2"/>
      <c r="Y3" s="3" t="s">
        <v>3</v>
      </c>
      <c r="AE3" s="2"/>
      <c r="AF3" s="2"/>
      <c r="AG3" s="2"/>
      <c r="AH3" s="2"/>
    </row>
    <row r="4" ht="24.75" customHeight="1">
      <c r="A4" s="22" t="s">
        <v>16</v>
      </c>
      <c r="B4" s="22" t="s">
        <v>17</v>
      </c>
      <c r="C4" s="22" t="s">
        <v>18</v>
      </c>
      <c r="D4" s="23" t="s">
        <v>6</v>
      </c>
      <c r="E4" s="8"/>
      <c r="F4" s="8"/>
      <c r="G4" s="8"/>
      <c r="H4" s="9"/>
      <c r="I4" s="22" t="s">
        <v>19</v>
      </c>
      <c r="J4" s="22" t="s">
        <v>8</v>
      </c>
      <c r="K4" s="23" t="s">
        <v>20</v>
      </c>
      <c r="L4" s="8"/>
      <c r="M4" s="9"/>
      <c r="N4" s="22" t="s">
        <v>21</v>
      </c>
      <c r="O4" s="22" t="s">
        <v>22</v>
      </c>
      <c r="P4" s="2"/>
      <c r="Q4" s="3"/>
      <c r="R4" s="3"/>
      <c r="S4" s="3"/>
      <c r="T4" s="3"/>
      <c r="U4" s="3"/>
      <c r="V4" s="3"/>
      <c r="W4" s="3"/>
      <c r="X4" s="3"/>
      <c r="Y4" s="3">
        <v>1.0</v>
      </c>
      <c r="Z4" s="3">
        <v>2.0</v>
      </c>
      <c r="AA4" s="3">
        <v>3.0</v>
      </c>
      <c r="AB4" s="3">
        <v>4.0</v>
      </c>
      <c r="AC4" s="3">
        <v>5.0</v>
      </c>
      <c r="AD4" s="3">
        <v>6.0</v>
      </c>
      <c r="AE4" s="2"/>
      <c r="AF4" s="2"/>
      <c r="AG4" s="2"/>
      <c r="AH4" s="2"/>
    </row>
    <row r="5">
      <c r="A5" s="11"/>
      <c r="B5" s="11"/>
      <c r="C5" s="11"/>
      <c r="D5" s="24">
        <v>1.0</v>
      </c>
      <c r="E5" s="24">
        <v>2.0</v>
      </c>
      <c r="F5" s="25">
        <v>3.0</v>
      </c>
      <c r="G5" s="24">
        <v>4.0</v>
      </c>
      <c r="H5" s="24">
        <v>5.0</v>
      </c>
      <c r="I5" s="11"/>
      <c r="J5" s="11"/>
      <c r="K5" s="24" t="s">
        <v>23</v>
      </c>
      <c r="L5" s="26" t="s">
        <v>24</v>
      </c>
      <c r="M5" s="26" t="s">
        <v>25</v>
      </c>
      <c r="N5" s="11"/>
      <c r="O5" s="11"/>
      <c r="P5" s="2"/>
      <c r="Q5" s="3" t="s">
        <v>9</v>
      </c>
      <c r="R5" s="3">
        <v>1.0</v>
      </c>
      <c r="S5" s="3">
        <v>2.0</v>
      </c>
      <c r="T5" s="3">
        <v>3.0</v>
      </c>
      <c r="U5" s="3">
        <v>4.0</v>
      </c>
      <c r="V5" s="3">
        <v>5.0</v>
      </c>
      <c r="W5" s="3" t="s">
        <v>26</v>
      </c>
      <c r="X5" s="3" t="s">
        <v>10</v>
      </c>
      <c r="Y5" s="3">
        <v>0.0</v>
      </c>
      <c r="Z5" s="3">
        <v>1.0</v>
      </c>
      <c r="AA5" s="3">
        <v>2.0</v>
      </c>
      <c r="AB5" s="3">
        <v>3.0</v>
      </c>
      <c r="AC5" s="3">
        <v>4.0</v>
      </c>
      <c r="AD5" s="3">
        <v>5.0</v>
      </c>
      <c r="AE5" s="3" t="s">
        <v>11</v>
      </c>
      <c r="AF5" s="2"/>
      <c r="AG5" s="2"/>
      <c r="AH5" s="2"/>
    </row>
    <row r="6">
      <c r="A6" s="27">
        <v>1.0</v>
      </c>
      <c r="B6" s="28" t="s">
        <v>27</v>
      </c>
      <c r="C6" s="29">
        <v>20.0</v>
      </c>
      <c r="D6" s="30">
        <f t="shared" ref="D6:G6" si="1">E6+R6</f>
        <v>21.56</v>
      </c>
      <c r="E6" s="30">
        <f t="shared" si="1"/>
        <v>21.17</v>
      </c>
      <c r="F6" s="31">
        <f t="shared" si="1"/>
        <v>20.78</v>
      </c>
      <c r="G6" s="30">
        <f t="shared" si="1"/>
        <v>20.39</v>
      </c>
      <c r="H6" s="29">
        <v>20.0</v>
      </c>
      <c r="I6" s="32">
        <v>23.17</v>
      </c>
      <c r="J6" s="29">
        <f t="shared" ref="J6:J28" si="3">if(AF6=0,1,AF6)</f>
        <v>1</v>
      </c>
      <c r="K6" s="33">
        <v>1368983.31</v>
      </c>
      <c r="L6" s="34">
        <v>24.35</v>
      </c>
      <c r="M6" s="35">
        <v>22.19</v>
      </c>
      <c r="N6" s="36">
        <v>23.0</v>
      </c>
      <c r="O6" s="37">
        <f t="shared" ref="O6:O28" si="4">M6-N6</f>
        <v>-0.81</v>
      </c>
      <c r="P6" s="2"/>
      <c r="Q6" s="3" t="s">
        <v>12</v>
      </c>
      <c r="R6" s="38">
        <v>0.39</v>
      </c>
      <c r="S6" s="38">
        <v>0.39</v>
      </c>
      <c r="T6" s="38">
        <v>0.39</v>
      </c>
      <c r="U6" s="38">
        <v>0.39</v>
      </c>
      <c r="V6" s="3">
        <v>0.0</v>
      </c>
      <c r="W6" s="3">
        <v>1.0</v>
      </c>
      <c r="X6" s="2">
        <f t="shared" ref="X6:X28" si="5">if(I6&gt;D6,0,if(I6&gt;E6,1,if(I6&gt;F6,2,if(I6&gt;G6,3,if(I6&gt;H6,4,5)))))</f>
        <v>0</v>
      </c>
      <c r="Y6" s="2">
        <f t="shared" ref="Y6:Y28" si="6">X6</f>
        <v>0</v>
      </c>
      <c r="Z6" s="16">
        <f t="shared" ref="Z6:Z28" si="7">(D6-I6)/R6+1</f>
        <v>-3.128205128</v>
      </c>
      <c r="AA6" s="16">
        <f t="shared" ref="AA6:AA28" si="8">(E6-I6)/S6+2</f>
        <v>-3.128205128</v>
      </c>
      <c r="AB6" s="16">
        <f t="shared" ref="AB6:AB28" si="9">(F6-I6)/T6+3</f>
        <v>-3.128205128</v>
      </c>
      <c r="AC6" s="16">
        <f t="shared" ref="AC6:AC28" si="10">(G6-I6)/U6+4</f>
        <v>-3.128205128</v>
      </c>
      <c r="AD6" s="3">
        <v>5.0</v>
      </c>
      <c r="AE6" s="2">
        <f t="shared" ref="AE6:AE28" si="11">X6+3</f>
        <v>3</v>
      </c>
      <c r="AF6" s="39">
        <f t="shared" ref="AF6:AF28" si="12">VLOOKUP(A6,$W$5:$AD$28,AE6,0)</f>
        <v>0</v>
      </c>
      <c r="AG6" s="2"/>
      <c r="AH6" s="2"/>
    </row>
    <row r="7">
      <c r="A7" s="27">
        <v>2.0</v>
      </c>
      <c r="B7" s="28" t="s">
        <v>28</v>
      </c>
      <c r="C7" s="29">
        <v>20.0</v>
      </c>
      <c r="D7" s="30">
        <f t="shared" ref="D7:G7" si="2">E7+R7</f>
        <v>21.56</v>
      </c>
      <c r="E7" s="30">
        <f t="shared" si="2"/>
        <v>21.17</v>
      </c>
      <c r="F7" s="31">
        <f t="shared" si="2"/>
        <v>20.78</v>
      </c>
      <c r="G7" s="30">
        <f t="shared" si="2"/>
        <v>20.39</v>
      </c>
      <c r="H7" s="29">
        <v>20.0</v>
      </c>
      <c r="I7" s="32">
        <v>20.28</v>
      </c>
      <c r="J7" s="29">
        <f t="shared" si="3"/>
        <v>4.282051282</v>
      </c>
      <c r="K7" s="40">
        <v>1349198.41</v>
      </c>
      <c r="L7" s="41">
        <v>20.27</v>
      </c>
      <c r="M7" s="42">
        <v>21.51</v>
      </c>
      <c r="N7" s="36">
        <v>21.0</v>
      </c>
      <c r="O7" s="37">
        <f t="shared" si="4"/>
        <v>0.51</v>
      </c>
      <c r="P7" s="2"/>
      <c r="Q7" s="3"/>
      <c r="R7" s="38">
        <v>0.39</v>
      </c>
      <c r="S7" s="38">
        <v>0.39</v>
      </c>
      <c r="T7" s="38">
        <v>0.39</v>
      </c>
      <c r="U7" s="38">
        <v>0.39</v>
      </c>
      <c r="V7" s="3">
        <v>0.0</v>
      </c>
      <c r="W7" s="3">
        <v>2.0</v>
      </c>
      <c r="X7" s="2">
        <f t="shared" si="5"/>
        <v>4</v>
      </c>
      <c r="Y7" s="2">
        <f t="shared" si="6"/>
        <v>4</v>
      </c>
      <c r="Z7" s="16">
        <f t="shared" si="7"/>
        <v>4.282051282</v>
      </c>
      <c r="AA7" s="16">
        <f t="shared" si="8"/>
        <v>4.282051282</v>
      </c>
      <c r="AB7" s="16">
        <f t="shared" si="9"/>
        <v>4.282051282</v>
      </c>
      <c r="AC7" s="16">
        <f t="shared" si="10"/>
        <v>4.282051282</v>
      </c>
      <c r="AD7" s="3">
        <v>5.0</v>
      </c>
      <c r="AE7" s="2">
        <f t="shared" si="11"/>
        <v>7</v>
      </c>
      <c r="AF7" s="39">
        <f t="shared" si="12"/>
        <v>4.282051282</v>
      </c>
      <c r="AG7" s="2"/>
      <c r="AH7" s="2"/>
    </row>
    <row r="8">
      <c r="A8" s="27">
        <v>3.0</v>
      </c>
      <c r="B8" s="28" t="s">
        <v>29</v>
      </c>
      <c r="C8" s="29">
        <v>18.5</v>
      </c>
      <c r="D8" s="30">
        <f t="shared" ref="D8:G8" si="13">E8+R8</f>
        <v>20.06</v>
      </c>
      <c r="E8" s="30">
        <f t="shared" si="13"/>
        <v>19.67</v>
      </c>
      <c r="F8" s="31">
        <f t="shared" si="13"/>
        <v>19.28</v>
      </c>
      <c r="G8" s="30">
        <f t="shared" si="13"/>
        <v>18.89</v>
      </c>
      <c r="H8" s="29">
        <v>18.5</v>
      </c>
      <c r="I8" s="32">
        <v>29.54</v>
      </c>
      <c r="J8" s="29">
        <f t="shared" si="3"/>
        <v>1</v>
      </c>
      <c r="K8" s="40">
        <v>590207.61</v>
      </c>
      <c r="L8" s="40">
        <v>28.59</v>
      </c>
      <c r="M8" s="42">
        <v>31.64</v>
      </c>
      <c r="N8" s="36">
        <v>28.0</v>
      </c>
      <c r="O8" s="37">
        <f t="shared" si="4"/>
        <v>3.64</v>
      </c>
      <c r="P8" s="2"/>
      <c r="Q8" s="2"/>
      <c r="R8" s="38">
        <v>0.39</v>
      </c>
      <c r="S8" s="38">
        <v>0.39</v>
      </c>
      <c r="T8" s="38">
        <v>0.39</v>
      </c>
      <c r="U8" s="38">
        <v>0.39</v>
      </c>
      <c r="V8" s="3">
        <v>0.0</v>
      </c>
      <c r="W8" s="3">
        <v>3.0</v>
      </c>
      <c r="X8" s="2">
        <f t="shared" si="5"/>
        <v>0</v>
      </c>
      <c r="Y8" s="2">
        <f t="shared" si="6"/>
        <v>0</v>
      </c>
      <c r="Z8" s="16">
        <f t="shared" si="7"/>
        <v>-23.30769231</v>
      </c>
      <c r="AA8" s="16">
        <f t="shared" si="8"/>
        <v>-23.30769231</v>
      </c>
      <c r="AB8" s="16">
        <f t="shared" si="9"/>
        <v>-23.30769231</v>
      </c>
      <c r="AC8" s="16">
        <f t="shared" si="10"/>
        <v>-23.30769231</v>
      </c>
      <c r="AD8" s="3">
        <v>5.0</v>
      </c>
      <c r="AE8" s="2">
        <f t="shared" si="11"/>
        <v>3</v>
      </c>
      <c r="AF8" s="39">
        <f t="shared" si="12"/>
        <v>0</v>
      </c>
      <c r="AG8" s="2"/>
      <c r="AH8" s="2"/>
    </row>
    <row r="9">
      <c r="A9" s="27">
        <v>4.0</v>
      </c>
      <c r="B9" s="28" t="s">
        <v>30</v>
      </c>
      <c r="C9" s="29">
        <v>18.0</v>
      </c>
      <c r="D9" s="30">
        <f t="shared" ref="D9:G9" si="14">E9+R9</f>
        <v>19.56</v>
      </c>
      <c r="E9" s="30">
        <f t="shared" si="14"/>
        <v>19.17</v>
      </c>
      <c r="F9" s="31">
        <f t="shared" si="14"/>
        <v>18.78</v>
      </c>
      <c r="G9" s="30">
        <f t="shared" si="14"/>
        <v>18.39</v>
      </c>
      <c r="H9" s="29">
        <v>18.0</v>
      </c>
      <c r="I9" s="32">
        <v>17.49</v>
      </c>
      <c r="J9" s="29">
        <f t="shared" si="3"/>
        <v>5</v>
      </c>
      <c r="K9" s="40">
        <v>444187.0</v>
      </c>
      <c r="L9" s="40">
        <v>19.65</v>
      </c>
      <c r="M9" s="42">
        <v>23.13</v>
      </c>
      <c r="N9" s="36">
        <v>22.0</v>
      </c>
      <c r="O9" s="37">
        <f t="shared" si="4"/>
        <v>1.13</v>
      </c>
      <c r="P9" s="2"/>
      <c r="Q9" s="2"/>
      <c r="R9" s="38">
        <v>0.39</v>
      </c>
      <c r="S9" s="38">
        <v>0.39</v>
      </c>
      <c r="T9" s="38">
        <v>0.39</v>
      </c>
      <c r="U9" s="38">
        <v>0.39</v>
      </c>
      <c r="V9" s="3">
        <v>0.0</v>
      </c>
      <c r="W9" s="3">
        <v>4.0</v>
      </c>
      <c r="X9" s="2">
        <f t="shared" si="5"/>
        <v>5</v>
      </c>
      <c r="Y9" s="2">
        <f t="shared" si="6"/>
        <v>5</v>
      </c>
      <c r="Z9" s="16">
        <f t="shared" si="7"/>
        <v>6.307692308</v>
      </c>
      <c r="AA9" s="16">
        <f t="shared" si="8"/>
        <v>6.307692308</v>
      </c>
      <c r="AB9" s="16">
        <f t="shared" si="9"/>
        <v>6.307692308</v>
      </c>
      <c r="AC9" s="16">
        <f t="shared" si="10"/>
        <v>6.307692308</v>
      </c>
      <c r="AD9" s="3">
        <v>5.0</v>
      </c>
      <c r="AE9" s="2">
        <f t="shared" si="11"/>
        <v>8</v>
      </c>
      <c r="AF9" s="39">
        <f t="shared" si="12"/>
        <v>5</v>
      </c>
      <c r="AG9" s="2"/>
      <c r="AH9" s="2"/>
    </row>
    <row r="10">
      <c r="A10" s="27">
        <v>5.0</v>
      </c>
      <c r="B10" s="28" t="s">
        <v>31</v>
      </c>
      <c r="C10" s="29">
        <v>20.0</v>
      </c>
      <c r="D10" s="30">
        <f t="shared" ref="D10:G10" si="15">E10+R10</f>
        <v>21.56</v>
      </c>
      <c r="E10" s="30">
        <f t="shared" si="15"/>
        <v>21.17</v>
      </c>
      <c r="F10" s="31">
        <f t="shared" si="15"/>
        <v>20.78</v>
      </c>
      <c r="G10" s="30">
        <f t="shared" si="15"/>
        <v>20.39</v>
      </c>
      <c r="H10" s="29">
        <v>20.0</v>
      </c>
      <c r="I10" s="32">
        <v>21.49</v>
      </c>
      <c r="J10" s="29">
        <f t="shared" si="3"/>
        <v>1.179487179</v>
      </c>
      <c r="K10" s="40">
        <v>866772.99</v>
      </c>
      <c r="L10" s="40">
        <v>30.68</v>
      </c>
      <c r="M10" s="42">
        <v>34.67</v>
      </c>
      <c r="N10" s="36">
        <v>29.0</v>
      </c>
      <c r="O10" s="37">
        <f t="shared" si="4"/>
        <v>5.67</v>
      </c>
      <c r="P10" s="2"/>
      <c r="Q10" s="2"/>
      <c r="R10" s="38">
        <v>0.39</v>
      </c>
      <c r="S10" s="38">
        <v>0.39</v>
      </c>
      <c r="T10" s="38">
        <v>0.39</v>
      </c>
      <c r="U10" s="38">
        <v>0.39</v>
      </c>
      <c r="V10" s="3">
        <v>0.0</v>
      </c>
      <c r="W10" s="3">
        <v>5.0</v>
      </c>
      <c r="X10" s="2">
        <f t="shared" si="5"/>
        <v>1</v>
      </c>
      <c r="Y10" s="2">
        <f t="shared" si="6"/>
        <v>1</v>
      </c>
      <c r="Z10" s="16">
        <f t="shared" si="7"/>
        <v>1.179487179</v>
      </c>
      <c r="AA10" s="16">
        <f t="shared" si="8"/>
        <v>1.179487179</v>
      </c>
      <c r="AB10" s="16">
        <f t="shared" si="9"/>
        <v>1.179487179</v>
      </c>
      <c r="AC10" s="16">
        <f t="shared" si="10"/>
        <v>1.179487179</v>
      </c>
      <c r="AD10" s="3">
        <v>5.0</v>
      </c>
      <c r="AE10" s="2">
        <f t="shared" si="11"/>
        <v>4</v>
      </c>
      <c r="AF10" s="39">
        <f t="shared" si="12"/>
        <v>1.179487179</v>
      </c>
      <c r="AG10" s="2"/>
      <c r="AH10" s="2"/>
    </row>
    <row r="11">
      <c r="A11" s="27">
        <v>6.0</v>
      </c>
      <c r="B11" s="28" t="s">
        <v>32</v>
      </c>
      <c r="C11" s="29">
        <v>18.0</v>
      </c>
      <c r="D11" s="30">
        <f t="shared" ref="D11:G11" si="16">E11+R11</f>
        <v>19.56</v>
      </c>
      <c r="E11" s="30">
        <f t="shared" si="16"/>
        <v>19.17</v>
      </c>
      <c r="F11" s="31">
        <f t="shared" si="16"/>
        <v>18.78</v>
      </c>
      <c r="G11" s="30">
        <f t="shared" si="16"/>
        <v>18.39</v>
      </c>
      <c r="H11" s="29">
        <v>18.0</v>
      </c>
      <c r="I11" s="32">
        <v>21.02</v>
      </c>
      <c r="J11" s="29">
        <f t="shared" si="3"/>
        <v>1</v>
      </c>
      <c r="K11" s="40">
        <v>699984.0</v>
      </c>
      <c r="L11" s="40">
        <v>24.37</v>
      </c>
      <c r="M11" s="42">
        <v>26.15</v>
      </c>
      <c r="N11" s="36">
        <v>25.0</v>
      </c>
      <c r="O11" s="37">
        <f t="shared" si="4"/>
        <v>1.15</v>
      </c>
      <c r="P11" s="2"/>
      <c r="Q11" s="2"/>
      <c r="R11" s="38">
        <v>0.39</v>
      </c>
      <c r="S11" s="38">
        <v>0.39</v>
      </c>
      <c r="T11" s="38">
        <v>0.39</v>
      </c>
      <c r="U11" s="38">
        <v>0.39</v>
      </c>
      <c r="V11" s="3">
        <v>0.0</v>
      </c>
      <c r="W11" s="3">
        <v>6.0</v>
      </c>
      <c r="X11" s="2">
        <f t="shared" si="5"/>
        <v>0</v>
      </c>
      <c r="Y11" s="2">
        <f t="shared" si="6"/>
        <v>0</v>
      </c>
      <c r="Z11" s="16">
        <f t="shared" si="7"/>
        <v>-2.743589744</v>
      </c>
      <c r="AA11" s="16">
        <f t="shared" si="8"/>
        <v>-2.743589744</v>
      </c>
      <c r="AB11" s="16">
        <f t="shared" si="9"/>
        <v>-2.743589744</v>
      </c>
      <c r="AC11" s="16">
        <f t="shared" si="10"/>
        <v>-2.743589744</v>
      </c>
      <c r="AD11" s="3">
        <v>5.0</v>
      </c>
      <c r="AE11" s="2">
        <f t="shared" si="11"/>
        <v>3</v>
      </c>
      <c r="AF11" s="39">
        <f t="shared" si="12"/>
        <v>0</v>
      </c>
      <c r="AG11" s="2"/>
      <c r="AH11" s="2"/>
    </row>
    <row r="12">
      <c r="A12" s="27">
        <v>7.0</v>
      </c>
      <c r="B12" s="28" t="s">
        <v>33</v>
      </c>
      <c r="C12" s="29">
        <v>11.0</v>
      </c>
      <c r="D12" s="30">
        <f t="shared" ref="D12:G12" si="17">E12+R12</f>
        <v>12.56</v>
      </c>
      <c r="E12" s="30">
        <f t="shared" si="17"/>
        <v>12.17</v>
      </c>
      <c r="F12" s="31">
        <f t="shared" si="17"/>
        <v>11.78</v>
      </c>
      <c r="G12" s="30">
        <f t="shared" si="17"/>
        <v>11.39</v>
      </c>
      <c r="H12" s="29">
        <v>11.0</v>
      </c>
      <c r="I12" s="32">
        <v>11.22</v>
      </c>
      <c r="J12" s="29">
        <f t="shared" si="3"/>
        <v>4.435897436</v>
      </c>
      <c r="K12" s="43">
        <v>114792.58</v>
      </c>
      <c r="L12" s="44">
        <v>10.86</v>
      </c>
      <c r="M12" s="42">
        <v>9.73</v>
      </c>
      <c r="N12" s="36">
        <v>9.0</v>
      </c>
      <c r="O12" s="37">
        <f t="shared" si="4"/>
        <v>0.73</v>
      </c>
      <c r="P12" s="2"/>
      <c r="Q12" s="2"/>
      <c r="R12" s="38">
        <v>0.39</v>
      </c>
      <c r="S12" s="38">
        <v>0.39</v>
      </c>
      <c r="T12" s="38">
        <v>0.39</v>
      </c>
      <c r="U12" s="38">
        <v>0.39</v>
      </c>
      <c r="V12" s="3">
        <v>0.0</v>
      </c>
      <c r="W12" s="3">
        <v>7.0</v>
      </c>
      <c r="X12" s="2">
        <f t="shared" si="5"/>
        <v>4</v>
      </c>
      <c r="Y12" s="2">
        <f t="shared" si="6"/>
        <v>4</v>
      </c>
      <c r="Z12" s="16">
        <f t="shared" si="7"/>
        <v>4.435897436</v>
      </c>
      <c r="AA12" s="16">
        <f t="shared" si="8"/>
        <v>4.435897436</v>
      </c>
      <c r="AB12" s="16">
        <f t="shared" si="9"/>
        <v>4.435897436</v>
      </c>
      <c r="AC12" s="16">
        <f t="shared" si="10"/>
        <v>4.435897436</v>
      </c>
      <c r="AD12" s="3">
        <v>5.0</v>
      </c>
      <c r="AE12" s="2">
        <f t="shared" si="11"/>
        <v>7</v>
      </c>
      <c r="AF12" s="39">
        <f t="shared" si="12"/>
        <v>4.435897436</v>
      </c>
      <c r="AG12" s="2"/>
      <c r="AH12" s="2"/>
    </row>
    <row r="13">
      <c r="A13" s="27">
        <v>8.0</v>
      </c>
      <c r="B13" s="28" t="s">
        <v>34</v>
      </c>
      <c r="C13" s="29">
        <v>10.0</v>
      </c>
      <c r="D13" s="30">
        <f t="shared" ref="D13:G13" si="18">E13+R13</f>
        <v>11.56</v>
      </c>
      <c r="E13" s="30">
        <f t="shared" si="18"/>
        <v>11.17</v>
      </c>
      <c r="F13" s="31">
        <f t="shared" si="18"/>
        <v>10.78</v>
      </c>
      <c r="G13" s="30">
        <f t="shared" si="18"/>
        <v>10.39</v>
      </c>
      <c r="H13" s="29">
        <v>10.0</v>
      </c>
      <c r="I13" s="32">
        <v>11.22</v>
      </c>
      <c r="J13" s="29">
        <f t="shared" si="3"/>
        <v>1.871794872</v>
      </c>
      <c r="K13" s="40">
        <v>137930.97</v>
      </c>
      <c r="L13" s="45">
        <v>9.88</v>
      </c>
      <c r="M13" s="42">
        <v>11.45</v>
      </c>
      <c r="N13" s="36">
        <v>12.0</v>
      </c>
      <c r="O13" s="37">
        <f t="shared" si="4"/>
        <v>-0.55</v>
      </c>
      <c r="P13" s="2"/>
      <c r="Q13" s="2"/>
      <c r="R13" s="38">
        <v>0.39</v>
      </c>
      <c r="S13" s="38">
        <v>0.39</v>
      </c>
      <c r="T13" s="38">
        <v>0.39</v>
      </c>
      <c r="U13" s="38">
        <v>0.39</v>
      </c>
      <c r="V13" s="3">
        <v>0.0</v>
      </c>
      <c r="W13" s="3">
        <v>8.0</v>
      </c>
      <c r="X13" s="2">
        <f t="shared" si="5"/>
        <v>1</v>
      </c>
      <c r="Y13" s="2">
        <f t="shared" si="6"/>
        <v>1</v>
      </c>
      <c r="Z13" s="16">
        <f t="shared" si="7"/>
        <v>1.871794872</v>
      </c>
      <c r="AA13" s="16">
        <f t="shared" si="8"/>
        <v>1.871794872</v>
      </c>
      <c r="AB13" s="16">
        <f t="shared" si="9"/>
        <v>1.871794872</v>
      </c>
      <c r="AC13" s="16">
        <f t="shared" si="10"/>
        <v>1.871794872</v>
      </c>
      <c r="AD13" s="3">
        <v>5.0</v>
      </c>
      <c r="AE13" s="2">
        <f t="shared" si="11"/>
        <v>4</v>
      </c>
      <c r="AF13" s="39">
        <f t="shared" si="12"/>
        <v>1.871794872</v>
      </c>
      <c r="AG13" s="2"/>
      <c r="AH13" s="2"/>
    </row>
    <row r="14">
      <c r="A14" s="27">
        <v>9.0</v>
      </c>
      <c r="B14" s="28" t="s">
        <v>35</v>
      </c>
      <c r="C14" s="29">
        <v>19.0</v>
      </c>
      <c r="D14" s="30">
        <f t="shared" ref="D14:G14" si="19">E14+R14</f>
        <v>20.56</v>
      </c>
      <c r="E14" s="30">
        <f t="shared" si="19"/>
        <v>20.17</v>
      </c>
      <c r="F14" s="31">
        <f t="shared" si="19"/>
        <v>19.78</v>
      </c>
      <c r="G14" s="30">
        <f t="shared" si="19"/>
        <v>19.39</v>
      </c>
      <c r="H14" s="29">
        <v>19.0</v>
      </c>
      <c r="I14" s="32">
        <v>21.58</v>
      </c>
      <c r="J14" s="29">
        <f t="shared" si="3"/>
        <v>1</v>
      </c>
      <c r="K14" s="40">
        <v>790180.0</v>
      </c>
      <c r="L14" s="45">
        <v>28.16</v>
      </c>
      <c r="M14" s="42">
        <v>30.43</v>
      </c>
      <c r="N14" s="36">
        <v>25.0</v>
      </c>
      <c r="O14" s="37">
        <f t="shared" si="4"/>
        <v>5.43</v>
      </c>
      <c r="P14" s="2"/>
      <c r="Q14" s="2"/>
      <c r="R14" s="38">
        <v>0.39</v>
      </c>
      <c r="S14" s="38">
        <v>0.39</v>
      </c>
      <c r="T14" s="38">
        <v>0.39</v>
      </c>
      <c r="U14" s="38">
        <v>0.39</v>
      </c>
      <c r="V14" s="3">
        <v>0.0</v>
      </c>
      <c r="W14" s="3">
        <v>9.0</v>
      </c>
      <c r="X14" s="2">
        <f t="shared" si="5"/>
        <v>0</v>
      </c>
      <c r="Y14" s="2">
        <f t="shared" si="6"/>
        <v>0</v>
      </c>
      <c r="Z14" s="16">
        <f t="shared" si="7"/>
        <v>-1.615384615</v>
      </c>
      <c r="AA14" s="16">
        <f t="shared" si="8"/>
        <v>-1.615384615</v>
      </c>
      <c r="AB14" s="16">
        <f t="shared" si="9"/>
        <v>-1.615384615</v>
      </c>
      <c r="AC14" s="16">
        <f t="shared" si="10"/>
        <v>-1.615384615</v>
      </c>
      <c r="AD14" s="3">
        <v>5.0</v>
      </c>
      <c r="AE14" s="2">
        <f t="shared" si="11"/>
        <v>3</v>
      </c>
      <c r="AF14" s="39">
        <f t="shared" si="12"/>
        <v>0</v>
      </c>
      <c r="AG14" s="2"/>
      <c r="AH14" s="2"/>
    </row>
    <row r="15">
      <c r="A15" s="27">
        <v>10.0</v>
      </c>
      <c r="B15" s="28" t="s">
        <v>36</v>
      </c>
      <c r="C15" s="29">
        <v>19.0</v>
      </c>
      <c r="D15" s="30">
        <f t="shared" ref="D15:G15" si="20">E15+R15</f>
        <v>20.56</v>
      </c>
      <c r="E15" s="30">
        <f t="shared" si="20"/>
        <v>20.17</v>
      </c>
      <c r="F15" s="31">
        <f t="shared" si="20"/>
        <v>19.78</v>
      </c>
      <c r="G15" s="30">
        <f t="shared" si="20"/>
        <v>19.39</v>
      </c>
      <c r="H15" s="29">
        <v>19.0</v>
      </c>
      <c r="I15" s="32">
        <v>18.62</v>
      </c>
      <c r="J15" s="29">
        <f t="shared" si="3"/>
        <v>5</v>
      </c>
      <c r="K15" s="40">
        <v>265775.0</v>
      </c>
      <c r="L15" s="44">
        <v>28.8</v>
      </c>
      <c r="M15" s="42">
        <v>28.4</v>
      </c>
      <c r="N15" s="36">
        <v>27.0</v>
      </c>
      <c r="O15" s="37">
        <f t="shared" si="4"/>
        <v>1.4</v>
      </c>
      <c r="P15" s="2"/>
      <c r="Q15" s="2"/>
      <c r="R15" s="38">
        <v>0.39</v>
      </c>
      <c r="S15" s="38">
        <v>0.39</v>
      </c>
      <c r="T15" s="38">
        <v>0.39</v>
      </c>
      <c r="U15" s="38">
        <v>0.39</v>
      </c>
      <c r="V15" s="3">
        <v>0.0</v>
      </c>
      <c r="W15" s="3">
        <v>10.0</v>
      </c>
      <c r="X15" s="2">
        <f t="shared" si="5"/>
        <v>5</v>
      </c>
      <c r="Y15" s="2">
        <f t="shared" si="6"/>
        <v>5</v>
      </c>
      <c r="Z15" s="16">
        <f t="shared" si="7"/>
        <v>5.974358974</v>
      </c>
      <c r="AA15" s="16">
        <f t="shared" si="8"/>
        <v>5.974358974</v>
      </c>
      <c r="AB15" s="16">
        <f t="shared" si="9"/>
        <v>5.974358974</v>
      </c>
      <c r="AC15" s="16">
        <f t="shared" si="10"/>
        <v>5.974358974</v>
      </c>
      <c r="AD15" s="3">
        <v>5.0</v>
      </c>
      <c r="AE15" s="2">
        <f t="shared" si="11"/>
        <v>8</v>
      </c>
      <c r="AF15" s="39">
        <f t="shared" si="12"/>
        <v>5</v>
      </c>
      <c r="AG15" s="2"/>
      <c r="AH15" s="2"/>
    </row>
    <row r="16">
      <c r="A16" s="27">
        <v>11.0</v>
      </c>
      <c r="B16" s="28" t="s">
        <v>37</v>
      </c>
      <c r="C16" s="29">
        <v>13.0</v>
      </c>
      <c r="D16" s="30">
        <f t="shared" ref="D16:G16" si="21">E16+R16</f>
        <v>14.56</v>
      </c>
      <c r="E16" s="30">
        <f t="shared" si="21"/>
        <v>14.17</v>
      </c>
      <c r="F16" s="31">
        <f t="shared" si="21"/>
        <v>13.78</v>
      </c>
      <c r="G16" s="30">
        <f t="shared" si="21"/>
        <v>13.39</v>
      </c>
      <c r="H16" s="29">
        <v>13.0</v>
      </c>
      <c r="I16" s="32">
        <v>11.76</v>
      </c>
      <c r="J16" s="29">
        <f t="shared" si="3"/>
        <v>5</v>
      </c>
      <c r="K16" s="40">
        <v>150052.0</v>
      </c>
      <c r="L16" s="46">
        <v>7.77</v>
      </c>
      <c r="M16" s="42">
        <v>11.79</v>
      </c>
      <c r="N16" s="36">
        <v>13.0</v>
      </c>
      <c r="O16" s="37">
        <f t="shared" si="4"/>
        <v>-1.21</v>
      </c>
      <c r="P16" s="2"/>
      <c r="Q16" s="2"/>
      <c r="R16" s="38">
        <v>0.39</v>
      </c>
      <c r="S16" s="38">
        <v>0.39</v>
      </c>
      <c r="T16" s="38">
        <v>0.39</v>
      </c>
      <c r="U16" s="38">
        <v>0.39</v>
      </c>
      <c r="V16" s="3">
        <v>0.0</v>
      </c>
      <c r="W16" s="3">
        <v>11.0</v>
      </c>
      <c r="X16" s="2">
        <f t="shared" si="5"/>
        <v>5</v>
      </c>
      <c r="Y16" s="2">
        <f t="shared" si="6"/>
        <v>5</v>
      </c>
      <c r="Z16" s="16">
        <f t="shared" si="7"/>
        <v>8.179487179</v>
      </c>
      <c r="AA16" s="16">
        <f t="shared" si="8"/>
        <v>8.179487179</v>
      </c>
      <c r="AB16" s="16">
        <f t="shared" si="9"/>
        <v>8.179487179</v>
      </c>
      <c r="AC16" s="16">
        <f t="shared" si="10"/>
        <v>8.179487179</v>
      </c>
      <c r="AD16" s="3">
        <v>5.0</v>
      </c>
      <c r="AE16" s="2">
        <f t="shared" si="11"/>
        <v>8</v>
      </c>
      <c r="AF16" s="39">
        <f t="shared" si="12"/>
        <v>5</v>
      </c>
      <c r="AG16" s="2"/>
      <c r="AH16" s="2"/>
    </row>
    <row r="17">
      <c r="A17" s="27">
        <v>12.0</v>
      </c>
      <c r="B17" s="28" t="s">
        <v>38</v>
      </c>
      <c r="C17" s="29">
        <v>18.0</v>
      </c>
      <c r="D17" s="30">
        <f t="shared" ref="D17:G17" si="22">E17+R17</f>
        <v>19.56</v>
      </c>
      <c r="E17" s="30">
        <f t="shared" si="22"/>
        <v>19.17</v>
      </c>
      <c r="F17" s="31">
        <f t="shared" si="22"/>
        <v>18.78</v>
      </c>
      <c r="G17" s="30">
        <f t="shared" si="22"/>
        <v>18.39</v>
      </c>
      <c r="H17" s="29">
        <v>18.0</v>
      </c>
      <c r="I17" s="32">
        <v>17.21</v>
      </c>
      <c r="J17" s="29">
        <f t="shared" si="3"/>
        <v>5</v>
      </c>
      <c r="K17" s="40">
        <v>942423.0</v>
      </c>
      <c r="L17" s="46">
        <v>25.81</v>
      </c>
      <c r="M17" s="42">
        <v>26.88</v>
      </c>
      <c r="N17" s="36">
        <v>26.0</v>
      </c>
      <c r="O17" s="37">
        <f t="shared" si="4"/>
        <v>0.88</v>
      </c>
      <c r="P17" s="2"/>
      <c r="Q17" s="2"/>
      <c r="R17" s="38">
        <v>0.39</v>
      </c>
      <c r="S17" s="38">
        <v>0.39</v>
      </c>
      <c r="T17" s="38">
        <v>0.39</v>
      </c>
      <c r="U17" s="38">
        <v>0.39</v>
      </c>
      <c r="V17" s="3">
        <v>0.0</v>
      </c>
      <c r="W17" s="3">
        <v>12.0</v>
      </c>
      <c r="X17" s="2">
        <f t="shared" si="5"/>
        <v>5</v>
      </c>
      <c r="Y17" s="2">
        <f t="shared" si="6"/>
        <v>5</v>
      </c>
      <c r="Z17" s="16">
        <f t="shared" si="7"/>
        <v>7.025641026</v>
      </c>
      <c r="AA17" s="16">
        <f t="shared" si="8"/>
        <v>7.025641026</v>
      </c>
      <c r="AB17" s="16">
        <f t="shared" si="9"/>
        <v>7.025641026</v>
      </c>
      <c r="AC17" s="16">
        <f t="shared" si="10"/>
        <v>7.025641026</v>
      </c>
      <c r="AD17" s="3">
        <v>5.0</v>
      </c>
      <c r="AE17" s="2">
        <f t="shared" si="11"/>
        <v>8</v>
      </c>
      <c r="AF17" s="39">
        <f t="shared" si="12"/>
        <v>5</v>
      </c>
      <c r="AG17" s="2"/>
      <c r="AH17" s="2"/>
    </row>
    <row r="18">
      <c r="A18" s="27">
        <v>13.0</v>
      </c>
      <c r="B18" s="28" t="s">
        <v>39</v>
      </c>
      <c r="C18" s="29">
        <v>19.0</v>
      </c>
      <c r="D18" s="30">
        <f t="shared" ref="D18:G18" si="23">E18+R18</f>
        <v>20.56</v>
      </c>
      <c r="E18" s="30">
        <f t="shared" si="23"/>
        <v>20.17</v>
      </c>
      <c r="F18" s="31">
        <f t="shared" si="23"/>
        <v>19.78</v>
      </c>
      <c r="G18" s="30">
        <f t="shared" si="23"/>
        <v>19.39</v>
      </c>
      <c r="H18" s="29">
        <v>19.0</v>
      </c>
      <c r="I18" s="32">
        <v>18.55</v>
      </c>
      <c r="J18" s="29">
        <f t="shared" si="3"/>
        <v>5</v>
      </c>
      <c r="K18" s="40">
        <v>392852.0</v>
      </c>
      <c r="L18" s="46">
        <v>41.87</v>
      </c>
      <c r="M18" s="42">
        <v>43.09</v>
      </c>
      <c r="N18" s="36">
        <v>37.0</v>
      </c>
      <c r="O18" s="37">
        <f t="shared" si="4"/>
        <v>6.09</v>
      </c>
      <c r="P18" s="2"/>
      <c r="Q18" s="2"/>
      <c r="R18" s="38">
        <v>0.39</v>
      </c>
      <c r="S18" s="38">
        <v>0.39</v>
      </c>
      <c r="T18" s="38">
        <v>0.39</v>
      </c>
      <c r="U18" s="38">
        <v>0.39</v>
      </c>
      <c r="V18" s="3">
        <v>0.0</v>
      </c>
      <c r="W18" s="3">
        <v>13.0</v>
      </c>
      <c r="X18" s="2">
        <f t="shared" si="5"/>
        <v>5</v>
      </c>
      <c r="Y18" s="2">
        <f t="shared" si="6"/>
        <v>5</v>
      </c>
      <c r="Z18" s="16">
        <f t="shared" si="7"/>
        <v>6.153846154</v>
      </c>
      <c r="AA18" s="16">
        <f t="shared" si="8"/>
        <v>6.153846154</v>
      </c>
      <c r="AB18" s="16">
        <f t="shared" si="9"/>
        <v>6.153846154</v>
      </c>
      <c r="AC18" s="16">
        <f t="shared" si="10"/>
        <v>6.153846154</v>
      </c>
      <c r="AD18" s="3">
        <v>5.0</v>
      </c>
      <c r="AE18" s="2">
        <f t="shared" si="11"/>
        <v>8</v>
      </c>
      <c r="AF18" s="39">
        <f t="shared" si="12"/>
        <v>5</v>
      </c>
      <c r="AG18" s="2"/>
      <c r="AH18" s="2"/>
    </row>
    <row r="19">
      <c r="A19" s="27">
        <v>14.0</v>
      </c>
      <c r="B19" s="28" t="s">
        <v>40</v>
      </c>
      <c r="C19" s="29">
        <v>19.0</v>
      </c>
      <c r="D19" s="30">
        <f t="shared" ref="D19:G19" si="24">E19+R19</f>
        <v>20.56</v>
      </c>
      <c r="E19" s="30">
        <f t="shared" si="24"/>
        <v>20.17</v>
      </c>
      <c r="F19" s="31">
        <f t="shared" si="24"/>
        <v>19.78</v>
      </c>
      <c r="G19" s="30">
        <f t="shared" si="24"/>
        <v>19.39</v>
      </c>
      <c r="H19" s="29">
        <v>19.0</v>
      </c>
      <c r="I19" s="32">
        <v>18.04</v>
      </c>
      <c r="J19" s="29">
        <f t="shared" si="3"/>
        <v>5</v>
      </c>
      <c r="K19" s="40">
        <v>770718.0</v>
      </c>
      <c r="L19" s="47">
        <v>32.35</v>
      </c>
      <c r="M19" s="42">
        <v>32.45</v>
      </c>
      <c r="N19" s="36">
        <v>25.0</v>
      </c>
      <c r="O19" s="37">
        <f t="shared" si="4"/>
        <v>7.45</v>
      </c>
      <c r="P19" s="2"/>
      <c r="Q19" s="2"/>
      <c r="R19" s="38">
        <v>0.39</v>
      </c>
      <c r="S19" s="38">
        <v>0.39</v>
      </c>
      <c r="T19" s="38">
        <v>0.39</v>
      </c>
      <c r="U19" s="38">
        <v>0.39</v>
      </c>
      <c r="V19" s="3">
        <v>0.0</v>
      </c>
      <c r="W19" s="3">
        <v>14.0</v>
      </c>
      <c r="X19" s="2">
        <f t="shared" si="5"/>
        <v>5</v>
      </c>
      <c r="Y19" s="2">
        <f t="shared" si="6"/>
        <v>5</v>
      </c>
      <c r="Z19" s="16">
        <f t="shared" si="7"/>
        <v>7.461538462</v>
      </c>
      <c r="AA19" s="16">
        <f t="shared" si="8"/>
        <v>7.461538462</v>
      </c>
      <c r="AB19" s="16">
        <f t="shared" si="9"/>
        <v>7.461538462</v>
      </c>
      <c r="AC19" s="16">
        <f t="shared" si="10"/>
        <v>7.461538462</v>
      </c>
      <c r="AD19" s="3">
        <v>5.0</v>
      </c>
      <c r="AE19" s="2">
        <f t="shared" si="11"/>
        <v>8</v>
      </c>
      <c r="AF19" s="39">
        <f t="shared" si="12"/>
        <v>5</v>
      </c>
      <c r="AG19" s="2"/>
      <c r="AH19" s="2"/>
    </row>
    <row r="20">
      <c r="A20" s="27">
        <v>15.0</v>
      </c>
      <c r="B20" s="28" t="s">
        <v>41</v>
      </c>
      <c r="C20" s="29">
        <v>18.5</v>
      </c>
      <c r="D20" s="30">
        <f t="shared" ref="D20:G20" si="25">E20+R20</f>
        <v>20.06</v>
      </c>
      <c r="E20" s="30">
        <f t="shared" si="25"/>
        <v>19.67</v>
      </c>
      <c r="F20" s="31">
        <f t="shared" si="25"/>
        <v>19.28</v>
      </c>
      <c r="G20" s="30">
        <f t="shared" si="25"/>
        <v>18.89</v>
      </c>
      <c r="H20" s="29">
        <v>18.5</v>
      </c>
      <c r="I20" s="32">
        <v>18.03</v>
      </c>
      <c r="J20" s="29">
        <f t="shared" si="3"/>
        <v>5</v>
      </c>
      <c r="K20" s="40">
        <v>303360.76</v>
      </c>
      <c r="L20" s="46">
        <v>51.19</v>
      </c>
      <c r="M20" s="42">
        <v>54.04</v>
      </c>
      <c r="N20" s="36">
        <v>45.0</v>
      </c>
      <c r="O20" s="37">
        <f t="shared" si="4"/>
        <v>9.04</v>
      </c>
      <c r="P20" s="2"/>
      <c r="Q20" s="2"/>
      <c r="R20" s="38">
        <v>0.39</v>
      </c>
      <c r="S20" s="38">
        <v>0.39</v>
      </c>
      <c r="T20" s="38">
        <v>0.39</v>
      </c>
      <c r="U20" s="38">
        <v>0.39</v>
      </c>
      <c r="V20" s="3">
        <v>0.0</v>
      </c>
      <c r="W20" s="3">
        <v>15.0</v>
      </c>
      <c r="X20" s="2">
        <f t="shared" si="5"/>
        <v>5</v>
      </c>
      <c r="Y20" s="2">
        <f t="shared" si="6"/>
        <v>5</v>
      </c>
      <c r="Z20" s="16">
        <f t="shared" si="7"/>
        <v>6.205128205</v>
      </c>
      <c r="AA20" s="16">
        <f t="shared" si="8"/>
        <v>6.205128205</v>
      </c>
      <c r="AB20" s="16">
        <f t="shared" si="9"/>
        <v>6.205128205</v>
      </c>
      <c r="AC20" s="16">
        <f t="shared" si="10"/>
        <v>6.205128205</v>
      </c>
      <c r="AD20" s="3">
        <v>5.0</v>
      </c>
      <c r="AE20" s="2">
        <f t="shared" si="11"/>
        <v>8</v>
      </c>
      <c r="AF20" s="39">
        <f t="shared" si="12"/>
        <v>5</v>
      </c>
      <c r="AG20" s="2"/>
      <c r="AH20" s="2"/>
    </row>
    <row r="21">
      <c r="A21" s="27">
        <v>16.0</v>
      </c>
      <c r="B21" s="28" t="s">
        <v>42</v>
      </c>
      <c r="C21" s="29">
        <v>18.0</v>
      </c>
      <c r="D21" s="30">
        <f t="shared" ref="D21:G21" si="26">E21+R21</f>
        <v>19.56</v>
      </c>
      <c r="E21" s="30">
        <f t="shared" si="26"/>
        <v>19.17</v>
      </c>
      <c r="F21" s="31">
        <f t="shared" si="26"/>
        <v>18.78</v>
      </c>
      <c r="G21" s="30">
        <f t="shared" si="26"/>
        <v>18.39</v>
      </c>
      <c r="H21" s="29">
        <v>18.0</v>
      </c>
      <c r="I21" s="32">
        <v>17.49</v>
      </c>
      <c r="J21" s="29">
        <f t="shared" si="3"/>
        <v>5</v>
      </c>
      <c r="K21" s="40">
        <v>712951.0</v>
      </c>
      <c r="L21" s="46">
        <v>55.39</v>
      </c>
      <c r="M21" s="42">
        <v>58.81</v>
      </c>
      <c r="N21" s="36">
        <v>40.0</v>
      </c>
      <c r="O21" s="37">
        <f t="shared" si="4"/>
        <v>18.81</v>
      </c>
      <c r="P21" s="2"/>
      <c r="Q21" s="2"/>
      <c r="R21" s="38">
        <v>0.39</v>
      </c>
      <c r="S21" s="38">
        <v>0.39</v>
      </c>
      <c r="T21" s="38">
        <v>0.39</v>
      </c>
      <c r="U21" s="38">
        <v>0.39</v>
      </c>
      <c r="V21" s="3">
        <v>0.0</v>
      </c>
      <c r="W21" s="3">
        <v>16.0</v>
      </c>
      <c r="X21" s="2">
        <f t="shared" si="5"/>
        <v>5</v>
      </c>
      <c r="Y21" s="2">
        <f t="shared" si="6"/>
        <v>5</v>
      </c>
      <c r="Z21" s="16">
        <f t="shared" si="7"/>
        <v>6.307692308</v>
      </c>
      <c r="AA21" s="16">
        <f t="shared" si="8"/>
        <v>6.307692308</v>
      </c>
      <c r="AB21" s="16">
        <f t="shared" si="9"/>
        <v>6.307692308</v>
      </c>
      <c r="AC21" s="16">
        <f t="shared" si="10"/>
        <v>6.307692308</v>
      </c>
      <c r="AD21" s="3">
        <v>5.0</v>
      </c>
      <c r="AE21" s="2">
        <f t="shared" si="11"/>
        <v>8</v>
      </c>
      <c r="AF21" s="39">
        <f t="shared" si="12"/>
        <v>5</v>
      </c>
      <c r="AG21" s="2"/>
      <c r="AH21" s="2"/>
    </row>
    <row r="22">
      <c r="A22" s="27">
        <v>17.0</v>
      </c>
      <c r="B22" s="28" t="s">
        <v>43</v>
      </c>
      <c r="C22" s="29">
        <v>25.0</v>
      </c>
      <c r="D22" s="30">
        <f t="shared" ref="D22:G22" si="27">E22+R22</f>
        <v>26.56</v>
      </c>
      <c r="E22" s="30">
        <f t="shared" si="27"/>
        <v>26.17</v>
      </c>
      <c r="F22" s="31">
        <f t="shared" si="27"/>
        <v>25.78</v>
      </c>
      <c r="G22" s="30">
        <f t="shared" si="27"/>
        <v>25.39</v>
      </c>
      <c r="H22" s="29">
        <v>25.0</v>
      </c>
      <c r="I22" s="32">
        <v>25.64</v>
      </c>
      <c r="J22" s="29">
        <f t="shared" si="3"/>
        <v>3.358974359</v>
      </c>
      <c r="K22" s="40">
        <v>100837.0</v>
      </c>
      <c r="L22" s="44">
        <v>58.37</v>
      </c>
      <c r="M22" s="42">
        <v>49.39</v>
      </c>
      <c r="N22" s="36">
        <v>40.0</v>
      </c>
      <c r="O22" s="37">
        <f t="shared" si="4"/>
        <v>9.39</v>
      </c>
      <c r="P22" s="2"/>
      <c r="Q22" s="2"/>
      <c r="R22" s="38">
        <v>0.39</v>
      </c>
      <c r="S22" s="38">
        <v>0.39</v>
      </c>
      <c r="T22" s="38">
        <v>0.39</v>
      </c>
      <c r="U22" s="38">
        <v>0.39</v>
      </c>
      <c r="V22" s="3">
        <v>0.0</v>
      </c>
      <c r="W22" s="3">
        <v>17.0</v>
      </c>
      <c r="X22" s="2">
        <f t="shared" si="5"/>
        <v>3</v>
      </c>
      <c r="Y22" s="2">
        <f t="shared" si="6"/>
        <v>3</v>
      </c>
      <c r="Z22" s="16">
        <f t="shared" si="7"/>
        <v>3.358974359</v>
      </c>
      <c r="AA22" s="16">
        <f t="shared" si="8"/>
        <v>3.358974359</v>
      </c>
      <c r="AB22" s="16">
        <f t="shared" si="9"/>
        <v>3.358974359</v>
      </c>
      <c r="AC22" s="16">
        <f t="shared" si="10"/>
        <v>3.358974359</v>
      </c>
      <c r="AD22" s="3">
        <v>5.0</v>
      </c>
      <c r="AE22" s="2">
        <f t="shared" si="11"/>
        <v>6</v>
      </c>
      <c r="AF22" s="39">
        <f t="shared" si="12"/>
        <v>3.358974359</v>
      </c>
      <c r="AG22" s="2"/>
      <c r="AH22" s="2"/>
    </row>
    <row r="23">
      <c r="A23" s="27">
        <v>18.0</v>
      </c>
      <c r="B23" s="28" t="s">
        <v>44</v>
      </c>
      <c r="C23" s="29">
        <v>18.0</v>
      </c>
      <c r="D23" s="30">
        <f t="shared" ref="D23:G23" si="28">E23+R23</f>
        <v>19.56</v>
      </c>
      <c r="E23" s="30">
        <f t="shared" si="28"/>
        <v>19.17</v>
      </c>
      <c r="F23" s="31">
        <f t="shared" si="28"/>
        <v>18.78</v>
      </c>
      <c r="G23" s="30">
        <f t="shared" si="28"/>
        <v>18.39</v>
      </c>
      <c r="H23" s="29">
        <v>18.0</v>
      </c>
      <c r="I23" s="32">
        <v>17.95</v>
      </c>
      <c r="J23" s="29">
        <f t="shared" si="3"/>
        <v>5</v>
      </c>
      <c r="K23" s="40">
        <v>232410.14</v>
      </c>
      <c r="L23" s="46">
        <v>38.57</v>
      </c>
      <c r="M23" s="42">
        <v>40.83</v>
      </c>
      <c r="N23" s="36">
        <v>37.0</v>
      </c>
      <c r="O23" s="37">
        <f t="shared" si="4"/>
        <v>3.83</v>
      </c>
      <c r="P23" s="2"/>
      <c r="Q23" s="2"/>
      <c r="R23" s="38">
        <v>0.39</v>
      </c>
      <c r="S23" s="38">
        <v>0.39</v>
      </c>
      <c r="T23" s="38">
        <v>0.39</v>
      </c>
      <c r="U23" s="38">
        <v>0.39</v>
      </c>
      <c r="V23" s="3">
        <v>0.0</v>
      </c>
      <c r="W23" s="3">
        <v>18.0</v>
      </c>
      <c r="X23" s="2">
        <f t="shared" si="5"/>
        <v>5</v>
      </c>
      <c r="Y23" s="2">
        <f t="shared" si="6"/>
        <v>5</v>
      </c>
      <c r="Z23" s="16">
        <f t="shared" si="7"/>
        <v>5.128205128</v>
      </c>
      <c r="AA23" s="16">
        <f t="shared" si="8"/>
        <v>5.128205128</v>
      </c>
      <c r="AB23" s="16">
        <f t="shared" si="9"/>
        <v>5.128205128</v>
      </c>
      <c r="AC23" s="16">
        <f t="shared" si="10"/>
        <v>5.128205128</v>
      </c>
      <c r="AD23" s="3">
        <v>5.0</v>
      </c>
      <c r="AE23" s="2">
        <f t="shared" si="11"/>
        <v>8</v>
      </c>
      <c r="AF23" s="39">
        <f t="shared" si="12"/>
        <v>5</v>
      </c>
      <c r="AG23" s="2"/>
      <c r="AH23" s="2"/>
    </row>
    <row r="24">
      <c r="A24" s="27">
        <v>19.0</v>
      </c>
      <c r="B24" s="28" t="s">
        <v>45</v>
      </c>
      <c r="C24" s="29">
        <v>18.0</v>
      </c>
      <c r="D24" s="30">
        <f t="shared" ref="D24:G24" si="29">E24+R24</f>
        <v>19.56</v>
      </c>
      <c r="E24" s="30">
        <f t="shared" si="29"/>
        <v>19.17</v>
      </c>
      <c r="F24" s="31">
        <f t="shared" si="29"/>
        <v>18.78</v>
      </c>
      <c r="G24" s="30">
        <f t="shared" si="29"/>
        <v>18.39</v>
      </c>
      <c r="H24" s="29">
        <v>18.0</v>
      </c>
      <c r="I24" s="32">
        <v>15.84</v>
      </c>
      <c r="J24" s="29">
        <f t="shared" si="3"/>
        <v>5</v>
      </c>
      <c r="K24" s="40">
        <v>31156.0</v>
      </c>
      <c r="L24" s="46">
        <v>19.89</v>
      </c>
      <c r="M24" s="42">
        <v>21.7</v>
      </c>
      <c r="N24" s="36">
        <v>21.0</v>
      </c>
      <c r="O24" s="37">
        <f t="shared" si="4"/>
        <v>0.7</v>
      </c>
      <c r="P24" s="2"/>
      <c r="Q24" s="2"/>
      <c r="R24" s="38">
        <v>0.39</v>
      </c>
      <c r="S24" s="38">
        <v>0.39</v>
      </c>
      <c r="T24" s="38">
        <v>0.39</v>
      </c>
      <c r="U24" s="38">
        <v>0.39</v>
      </c>
      <c r="V24" s="3">
        <v>0.0</v>
      </c>
      <c r="W24" s="3">
        <v>19.0</v>
      </c>
      <c r="X24" s="2">
        <f t="shared" si="5"/>
        <v>5</v>
      </c>
      <c r="Y24" s="2">
        <f t="shared" si="6"/>
        <v>5</v>
      </c>
      <c r="Z24" s="16">
        <f t="shared" si="7"/>
        <v>10.53846154</v>
      </c>
      <c r="AA24" s="16">
        <f t="shared" si="8"/>
        <v>10.53846154</v>
      </c>
      <c r="AB24" s="16">
        <f t="shared" si="9"/>
        <v>10.53846154</v>
      </c>
      <c r="AC24" s="16">
        <f t="shared" si="10"/>
        <v>10.53846154</v>
      </c>
      <c r="AD24" s="3">
        <v>5.0</v>
      </c>
      <c r="AE24" s="2">
        <f t="shared" si="11"/>
        <v>8</v>
      </c>
      <c r="AF24" s="39">
        <f t="shared" si="12"/>
        <v>5</v>
      </c>
      <c r="AG24" s="2"/>
      <c r="AH24" s="2"/>
    </row>
    <row r="25">
      <c r="A25" s="27">
        <v>20.0</v>
      </c>
      <c r="B25" s="28" t="s">
        <v>46</v>
      </c>
      <c r="C25" s="29">
        <v>20.0</v>
      </c>
      <c r="D25" s="30">
        <f t="shared" ref="D25:G25" si="30">E25+R25</f>
        <v>21.56</v>
      </c>
      <c r="E25" s="30">
        <f t="shared" si="30"/>
        <v>21.17</v>
      </c>
      <c r="F25" s="31">
        <f t="shared" si="30"/>
        <v>20.78</v>
      </c>
      <c r="G25" s="30">
        <f t="shared" si="30"/>
        <v>20.39</v>
      </c>
      <c r="H25" s="29">
        <v>20.0</v>
      </c>
      <c r="I25" s="32">
        <v>19.68</v>
      </c>
      <c r="J25" s="29">
        <f t="shared" si="3"/>
        <v>5</v>
      </c>
      <c r="K25" s="40">
        <v>282243.0</v>
      </c>
      <c r="L25" s="47">
        <v>35.58</v>
      </c>
      <c r="M25" s="42">
        <v>39.44</v>
      </c>
      <c r="N25" s="36">
        <v>40.0</v>
      </c>
      <c r="O25" s="37">
        <f t="shared" si="4"/>
        <v>-0.56</v>
      </c>
      <c r="P25" s="2"/>
      <c r="Q25" s="2"/>
      <c r="R25" s="38">
        <v>0.39</v>
      </c>
      <c r="S25" s="38">
        <v>0.39</v>
      </c>
      <c r="T25" s="38">
        <v>0.39</v>
      </c>
      <c r="U25" s="38">
        <v>0.39</v>
      </c>
      <c r="V25" s="3">
        <v>0.0</v>
      </c>
      <c r="W25" s="3">
        <v>20.0</v>
      </c>
      <c r="X25" s="2">
        <f t="shared" si="5"/>
        <v>5</v>
      </c>
      <c r="Y25" s="2">
        <f t="shared" si="6"/>
        <v>5</v>
      </c>
      <c r="Z25" s="16">
        <f t="shared" si="7"/>
        <v>5.820512821</v>
      </c>
      <c r="AA25" s="16">
        <f t="shared" si="8"/>
        <v>5.820512821</v>
      </c>
      <c r="AB25" s="16">
        <f t="shared" si="9"/>
        <v>5.820512821</v>
      </c>
      <c r="AC25" s="16">
        <f t="shared" si="10"/>
        <v>5.820512821</v>
      </c>
      <c r="AD25" s="3">
        <v>5.0</v>
      </c>
      <c r="AE25" s="2">
        <f t="shared" si="11"/>
        <v>8</v>
      </c>
      <c r="AF25" s="39">
        <f t="shared" si="12"/>
        <v>5</v>
      </c>
      <c r="AG25" s="2"/>
      <c r="AH25" s="2"/>
    </row>
    <row r="26">
      <c r="A26" s="27">
        <v>21.0</v>
      </c>
      <c r="B26" s="28" t="s">
        <v>47</v>
      </c>
      <c r="C26" s="29">
        <v>18.8</v>
      </c>
      <c r="D26" s="30">
        <f t="shared" ref="D26:G26" si="31">E26+R26</f>
        <v>20.36</v>
      </c>
      <c r="E26" s="30">
        <f t="shared" si="31"/>
        <v>19.97</v>
      </c>
      <c r="F26" s="31">
        <f t="shared" si="31"/>
        <v>19.58</v>
      </c>
      <c r="G26" s="30">
        <f t="shared" si="31"/>
        <v>19.19</v>
      </c>
      <c r="H26" s="29">
        <v>18.8</v>
      </c>
      <c r="I26" s="32">
        <v>18.95</v>
      </c>
      <c r="J26" s="29">
        <f t="shared" si="3"/>
        <v>4.615384615</v>
      </c>
      <c r="K26" s="40">
        <v>823384.0</v>
      </c>
      <c r="L26" s="46">
        <v>48.98</v>
      </c>
      <c r="M26" s="42">
        <v>49.75</v>
      </c>
      <c r="N26" s="36">
        <v>42.0</v>
      </c>
      <c r="O26" s="37">
        <f t="shared" si="4"/>
        <v>7.75</v>
      </c>
      <c r="P26" s="2"/>
      <c r="Q26" s="2"/>
      <c r="R26" s="38">
        <v>0.39</v>
      </c>
      <c r="S26" s="38">
        <v>0.39</v>
      </c>
      <c r="T26" s="38">
        <v>0.39</v>
      </c>
      <c r="U26" s="38">
        <v>0.39</v>
      </c>
      <c r="V26" s="3">
        <v>0.0</v>
      </c>
      <c r="W26" s="3">
        <v>21.0</v>
      </c>
      <c r="X26" s="2">
        <f t="shared" si="5"/>
        <v>4</v>
      </c>
      <c r="Y26" s="2">
        <f t="shared" si="6"/>
        <v>4</v>
      </c>
      <c r="Z26" s="16">
        <f t="shared" si="7"/>
        <v>4.615384615</v>
      </c>
      <c r="AA26" s="16">
        <f t="shared" si="8"/>
        <v>4.615384615</v>
      </c>
      <c r="AB26" s="16">
        <f t="shared" si="9"/>
        <v>4.615384615</v>
      </c>
      <c r="AC26" s="16">
        <f t="shared" si="10"/>
        <v>4.615384615</v>
      </c>
      <c r="AD26" s="3">
        <v>5.0</v>
      </c>
      <c r="AE26" s="2">
        <f t="shared" si="11"/>
        <v>7</v>
      </c>
      <c r="AF26" s="39">
        <f t="shared" si="12"/>
        <v>4.615384615</v>
      </c>
      <c r="AG26" s="2"/>
      <c r="AH26" s="2"/>
    </row>
    <row r="27">
      <c r="A27" s="27">
        <v>22.0</v>
      </c>
      <c r="B27" s="28" t="s">
        <v>48</v>
      </c>
      <c r="C27" s="29">
        <v>21.0</v>
      </c>
      <c r="D27" s="30">
        <f t="shared" ref="D27:G27" si="32">E27+R27</f>
        <v>22.56</v>
      </c>
      <c r="E27" s="30">
        <f t="shared" si="32"/>
        <v>22.17</v>
      </c>
      <c r="F27" s="31">
        <f t="shared" si="32"/>
        <v>21.78</v>
      </c>
      <c r="G27" s="30">
        <f t="shared" si="32"/>
        <v>21.39</v>
      </c>
      <c r="H27" s="29">
        <v>21.0</v>
      </c>
      <c r="I27" s="32">
        <v>32.24</v>
      </c>
      <c r="J27" s="29">
        <f t="shared" si="3"/>
        <v>1</v>
      </c>
      <c r="K27" s="40">
        <v>162032.0</v>
      </c>
      <c r="L27" s="46">
        <v>30.14</v>
      </c>
      <c r="M27" s="42">
        <v>32.24</v>
      </c>
      <c r="N27" s="36">
        <v>25.0</v>
      </c>
      <c r="O27" s="37">
        <f t="shared" si="4"/>
        <v>7.24</v>
      </c>
      <c r="P27" s="2"/>
      <c r="Q27" s="2"/>
      <c r="R27" s="38">
        <v>0.39</v>
      </c>
      <c r="S27" s="38">
        <v>0.39</v>
      </c>
      <c r="T27" s="38">
        <v>0.39</v>
      </c>
      <c r="U27" s="38">
        <v>0.39</v>
      </c>
      <c r="V27" s="3">
        <v>0.0</v>
      </c>
      <c r="W27" s="3">
        <v>22.0</v>
      </c>
      <c r="X27" s="2">
        <f t="shared" si="5"/>
        <v>0</v>
      </c>
      <c r="Y27" s="2">
        <f t="shared" si="6"/>
        <v>0</v>
      </c>
      <c r="Z27" s="16">
        <f t="shared" si="7"/>
        <v>-23.82051282</v>
      </c>
      <c r="AA27" s="16">
        <f t="shared" si="8"/>
        <v>-23.82051282</v>
      </c>
      <c r="AB27" s="16">
        <f t="shared" si="9"/>
        <v>-23.82051282</v>
      </c>
      <c r="AC27" s="16">
        <f t="shared" si="10"/>
        <v>-23.82051282</v>
      </c>
      <c r="AD27" s="3">
        <v>5.0</v>
      </c>
      <c r="AE27" s="2">
        <f t="shared" si="11"/>
        <v>3</v>
      </c>
      <c r="AF27" s="39">
        <f t="shared" si="12"/>
        <v>0</v>
      </c>
      <c r="AG27" s="2"/>
      <c r="AH27" s="2"/>
    </row>
    <row r="28">
      <c r="A28" s="48">
        <v>23.0</v>
      </c>
      <c r="B28" s="49" t="s">
        <v>49</v>
      </c>
      <c r="C28" s="29">
        <v>18.26</v>
      </c>
      <c r="D28" s="30">
        <f t="shared" ref="D28:G28" si="33">E28+R28</f>
        <v>19.82</v>
      </c>
      <c r="E28" s="30">
        <f t="shared" si="33"/>
        <v>19.43</v>
      </c>
      <c r="F28" s="31">
        <f t="shared" si="33"/>
        <v>19.04</v>
      </c>
      <c r="G28" s="30">
        <f t="shared" si="33"/>
        <v>18.65</v>
      </c>
      <c r="H28" s="29">
        <v>18.26</v>
      </c>
      <c r="I28" s="32">
        <v>19.84</v>
      </c>
      <c r="J28" s="29">
        <f t="shared" si="3"/>
        <v>1</v>
      </c>
      <c r="K28" s="50">
        <v>1.153243077E7</v>
      </c>
      <c r="L28" s="51">
        <v>27.13</v>
      </c>
      <c r="M28" s="52">
        <v>27.95</v>
      </c>
      <c r="N28" s="36">
        <v>24.78</v>
      </c>
      <c r="O28" s="37">
        <f t="shared" si="4"/>
        <v>3.17</v>
      </c>
      <c r="P28" s="2"/>
      <c r="Q28" s="2"/>
      <c r="R28" s="38">
        <v>0.39</v>
      </c>
      <c r="S28" s="38">
        <v>0.39</v>
      </c>
      <c r="T28" s="38">
        <v>0.39</v>
      </c>
      <c r="U28" s="38">
        <v>0.39</v>
      </c>
      <c r="V28" s="3">
        <v>0.0</v>
      </c>
      <c r="W28" s="3">
        <v>23.0</v>
      </c>
      <c r="X28" s="2">
        <f t="shared" si="5"/>
        <v>0</v>
      </c>
      <c r="Y28" s="2">
        <f t="shared" si="6"/>
        <v>0</v>
      </c>
      <c r="Z28" s="16">
        <f t="shared" si="7"/>
        <v>0.9487179487</v>
      </c>
      <c r="AA28" s="16">
        <f t="shared" si="8"/>
        <v>0.9487179487</v>
      </c>
      <c r="AB28" s="16">
        <f t="shared" si="9"/>
        <v>0.9487179487</v>
      </c>
      <c r="AC28" s="16">
        <f t="shared" si="10"/>
        <v>0.9487179487</v>
      </c>
      <c r="AD28" s="3">
        <v>5.0</v>
      </c>
      <c r="AE28" s="2">
        <f t="shared" si="11"/>
        <v>3</v>
      </c>
      <c r="AF28" s="39">
        <f t="shared" si="12"/>
        <v>0</v>
      </c>
      <c r="AG28" s="2"/>
      <c r="AH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39"/>
      <c r="M29" s="39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39"/>
      <c r="M30" s="39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39"/>
      <c r="M31" s="39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39"/>
      <c r="M32" s="39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39"/>
      <c r="M33" s="39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39"/>
      <c r="M34" s="39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39"/>
      <c r="M35" s="39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39"/>
      <c r="M36" s="39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39"/>
      <c r="M37" s="39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>
      <c r="A38" s="2"/>
      <c r="B38" s="2"/>
      <c r="C38" s="2"/>
      <c r="D38" s="2"/>
      <c r="E38" s="2"/>
      <c r="F38" s="2"/>
      <c r="G38" s="2"/>
      <c r="H38" s="2"/>
      <c r="I38" s="53">
        <v>23.5</v>
      </c>
      <c r="J38" s="2"/>
      <c r="K38" s="2"/>
      <c r="L38" s="39"/>
      <c r="M38" s="39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>
      <c r="A39" s="2"/>
      <c r="B39" s="2"/>
      <c r="C39" s="2"/>
      <c r="D39" s="2"/>
      <c r="E39" s="2"/>
      <c r="F39" s="2"/>
      <c r="G39" s="2"/>
      <c r="H39" s="2"/>
      <c r="I39" s="53">
        <v>21.51</v>
      </c>
      <c r="J39" s="2"/>
      <c r="K39" s="2"/>
      <c r="L39" s="39"/>
      <c r="M39" s="39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>
      <c r="A40" s="2"/>
      <c r="B40" s="2"/>
      <c r="C40" s="2"/>
      <c r="D40" s="2"/>
      <c r="E40" s="2"/>
      <c r="F40" s="2"/>
      <c r="G40" s="2"/>
      <c r="H40" s="2"/>
      <c r="I40" s="53">
        <v>31.64</v>
      </c>
      <c r="J40" s="2"/>
      <c r="K40" s="2"/>
      <c r="L40" s="39"/>
      <c r="M40" s="39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>
      <c r="A41" s="2"/>
      <c r="B41" s="2"/>
      <c r="C41" s="2"/>
      <c r="D41" s="2"/>
      <c r="E41" s="2"/>
      <c r="F41" s="2"/>
      <c r="G41" s="2"/>
      <c r="H41" s="2"/>
      <c r="I41" s="53">
        <v>23.13</v>
      </c>
      <c r="J41" s="2"/>
      <c r="K41" s="2"/>
      <c r="L41" s="39"/>
      <c r="M41" s="39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>
      <c r="A42" s="2"/>
      <c r="B42" s="2"/>
      <c r="C42" s="2"/>
      <c r="D42" s="2"/>
      <c r="E42" s="2"/>
      <c r="F42" s="2"/>
      <c r="G42" s="2"/>
      <c r="H42" s="2"/>
      <c r="I42" s="53">
        <v>34.67</v>
      </c>
      <c r="J42" s="2"/>
      <c r="K42" s="2"/>
      <c r="L42" s="39"/>
      <c r="M42" s="39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>
      <c r="A43" s="2"/>
      <c r="B43" s="2"/>
      <c r="C43" s="2"/>
      <c r="D43" s="2"/>
      <c r="E43" s="2"/>
      <c r="F43" s="2"/>
      <c r="G43" s="2"/>
      <c r="H43" s="2"/>
      <c r="I43" s="53">
        <v>26.15</v>
      </c>
      <c r="J43" s="2"/>
      <c r="K43" s="2"/>
      <c r="L43" s="39"/>
      <c r="M43" s="39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>
      <c r="A44" s="2"/>
      <c r="B44" s="2"/>
      <c r="C44" s="2"/>
      <c r="D44" s="2"/>
      <c r="E44" s="2"/>
      <c r="F44" s="2"/>
      <c r="G44" s="2"/>
      <c r="H44" s="2"/>
      <c r="I44" s="53">
        <v>9.73</v>
      </c>
      <c r="J44" s="2"/>
      <c r="K44" s="2"/>
      <c r="L44" s="39"/>
      <c r="M44" s="39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>
      <c r="A45" s="2"/>
      <c r="B45" s="2"/>
      <c r="C45" s="2"/>
      <c r="D45" s="2"/>
      <c r="E45" s="2"/>
      <c r="F45" s="2"/>
      <c r="G45" s="2"/>
      <c r="H45" s="2"/>
      <c r="I45" s="53">
        <v>11.45</v>
      </c>
      <c r="J45" s="2"/>
      <c r="K45" s="2"/>
      <c r="L45" s="39"/>
      <c r="M45" s="39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>
      <c r="A46" s="2"/>
      <c r="B46" s="2"/>
      <c r="C46" s="2"/>
      <c r="D46" s="2"/>
      <c r="E46" s="2"/>
      <c r="F46" s="2"/>
      <c r="G46" s="2"/>
      <c r="H46" s="2"/>
      <c r="I46" s="53">
        <v>30.43</v>
      </c>
      <c r="J46" s="2"/>
      <c r="K46" s="2"/>
      <c r="L46" s="39"/>
      <c r="M46" s="39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7">
      <c r="A47" s="2"/>
      <c r="B47" s="2"/>
      <c r="C47" s="2"/>
      <c r="D47" s="2"/>
      <c r="E47" s="2"/>
      <c r="F47" s="2"/>
      <c r="G47" s="2"/>
      <c r="H47" s="2"/>
      <c r="I47" s="53">
        <v>28.4</v>
      </c>
      <c r="J47" s="2"/>
      <c r="K47" s="2"/>
      <c r="L47" s="39"/>
      <c r="M47" s="39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>
      <c r="A48" s="2"/>
      <c r="B48" s="2"/>
      <c r="C48" s="2"/>
      <c r="D48" s="2"/>
      <c r="E48" s="2"/>
      <c r="F48" s="2"/>
      <c r="G48" s="2"/>
      <c r="H48" s="2"/>
      <c r="I48" s="53">
        <v>11.79</v>
      </c>
      <c r="J48" s="2"/>
      <c r="K48" s="2"/>
      <c r="L48" s="39"/>
      <c r="M48" s="39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>
      <c r="A49" s="2"/>
      <c r="B49" s="2"/>
      <c r="C49" s="2"/>
      <c r="D49" s="2"/>
      <c r="E49" s="2"/>
      <c r="F49" s="2"/>
      <c r="G49" s="2"/>
      <c r="H49" s="2"/>
      <c r="I49" s="53">
        <v>26.88</v>
      </c>
      <c r="J49" s="2"/>
      <c r="K49" s="2"/>
      <c r="L49" s="39"/>
      <c r="M49" s="39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>
      <c r="A50" s="2"/>
      <c r="B50" s="2"/>
      <c r="C50" s="2"/>
      <c r="D50" s="2"/>
      <c r="E50" s="2"/>
      <c r="F50" s="2"/>
      <c r="G50" s="2"/>
      <c r="H50" s="2"/>
      <c r="I50" s="53">
        <v>43.09</v>
      </c>
      <c r="J50" s="2"/>
      <c r="K50" s="2"/>
      <c r="L50" s="39"/>
      <c r="M50" s="39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>
      <c r="A51" s="2"/>
      <c r="B51" s="2"/>
      <c r="C51" s="2"/>
      <c r="D51" s="2"/>
      <c r="E51" s="2"/>
      <c r="F51" s="2"/>
      <c r="G51" s="2"/>
      <c r="H51" s="2"/>
      <c r="I51" s="53">
        <v>33.89</v>
      </c>
      <c r="J51" s="2"/>
      <c r="K51" s="2"/>
      <c r="L51" s="39"/>
      <c r="M51" s="39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>
      <c r="A52" s="2"/>
      <c r="B52" s="2"/>
      <c r="C52" s="2"/>
      <c r="D52" s="2"/>
      <c r="E52" s="2"/>
      <c r="F52" s="2"/>
      <c r="G52" s="2"/>
      <c r="H52" s="2"/>
      <c r="I52" s="53">
        <v>54.04</v>
      </c>
      <c r="J52" s="2"/>
      <c r="K52" s="2"/>
      <c r="L52" s="39"/>
      <c r="M52" s="39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>
      <c r="A53" s="2"/>
      <c r="B53" s="2"/>
      <c r="C53" s="2"/>
      <c r="D53" s="2"/>
      <c r="E53" s="2"/>
      <c r="F53" s="2"/>
      <c r="G53" s="2"/>
      <c r="H53" s="2"/>
      <c r="I53" s="53">
        <v>58.81</v>
      </c>
      <c r="J53" s="2"/>
      <c r="K53" s="2"/>
      <c r="L53" s="39"/>
      <c r="M53" s="39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>
      <c r="A54" s="2"/>
      <c r="B54" s="2"/>
      <c r="C54" s="2"/>
      <c r="D54" s="2"/>
      <c r="E54" s="2"/>
      <c r="F54" s="2"/>
      <c r="G54" s="2"/>
      <c r="H54" s="2"/>
      <c r="I54" s="53">
        <v>49.39</v>
      </c>
      <c r="J54" s="2"/>
      <c r="K54" s="2"/>
      <c r="L54" s="39"/>
      <c r="M54" s="39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>
      <c r="A55" s="2"/>
      <c r="B55" s="2"/>
      <c r="C55" s="2"/>
      <c r="D55" s="2"/>
      <c r="E55" s="2"/>
      <c r="F55" s="2"/>
      <c r="G55" s="2"/>
      <c r="H55" s="2"/>
      <c r="I55" s="53">
        <v>40.83</v>
      </c>
      <c r="J55" s="2"/>
      <c r="K55" s="2"/>
      <c r="L55" s="39"/>
      <c r="M55" s="39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>
      <c r="A56" s="2"/>
      <c r="B56" s="2"/>
      <c r="C56" s="2"/>
      <c r="D56" s="2"/>
      <c r="E56" s="2"/>
      <c r="F56" s="2"/>
      <c r="G56" s="2"/>
      <c r="H56" s="2"/>
      <c r="I56" s="53">
        <v>21.7</v>
      </c>
      <c r="J56" s="2"/>
      <c r="K56" s="2"/>
      <c r="L56" s="39"/>
      <c r="M56" s="39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>
      <c r="A57" s="2"/>
      <c r="B57" s="2"/>
      <c r="C57" s="2"/>
      <c r="D57" s="2"/>
      <c r="E57" s="2"/>
      <c r="F57" s="2"/>
      <c r="G57" s="2"/>
      <c r="H57" s="2"/>
      <c r="I57" s="53">
        <v>41.24</v>
      </c>
      <c r="J57" s="2"/>
      <c r="K57" s="2"/>
      <c r="L57" s="39"/>
      <c r="M57" s="39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>
      <c r="A58" s="2"/>
      <c r="B58" s="2"/>
      <c r="C58" s="2"/>
      <c r="D58" s="2"/>
      <c r="E58" s="2"/>
      <c r="F58" s="2"/>
      <c r="G58" s="2"/>
      <c r="H58" s="2"/>
      <c r="I58" s="53">
        <v>49.75</v>
      </c>
      <c r="J58" s="2"/>
      <c r="K58" s="2"/>
      <c r="L58" s="39"/>
      <c r="M58" s="39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>
      <c r="A59" s="2"/>
      <c r="B59" s="2"/>
      <c r="C59" s="2"/>
      <c r="D59" s="2"/>
      <c r="E59" s="2"/>
      <c r="F59" s="2"/>
      <c r="G59" s="2"/>
      <c r="H59" s="2"/>
      <c r="I59" s="53">
        <v>31.92</v>
      </c>
      <c r="J59" s="2"/>
      <c r="K59" s="2"/>
      <c r="L59" s="39"/>
      <c r="M59" s="39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>
      <c r="A60" s="2"/>
      <c r="B60" s="2"/>
      <c r="C60" s="2"/>
      <c r="D60" s="2"/>
      <c r="E60" s="2"/>
      <c r="F60" s="2"/>
      <c r="G60" s="2"/>
      <c r="H60" s="2"/>
      <c r="I60" s="53">
        <v>20.97</v>
      </c>
      <c r="J60" s="2"/>
      <c r="K60" s="2"/>
      <c r="L60" s="39"/>
      <c r="M60" s="39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39"/>
      <c r="M61" s="39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39"/>
      <c r="M62" s="39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39"/>
      <c r="M63" s="39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39"/>
      <c r="M64" s="39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39"/>
      <c r="M65" s="39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39"/>
      <c r="M66" s="39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39"/>
      <c r="M67" s="39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39"/>
      <c r="M68" s="39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39"/>
      <c r="M69" s="39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39"/>
      <c r="M70" s="39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39"/>
      <c r="M71" s="39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39"/>
      <c r="M72" s="39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39"/>
      <c r="M73" s="39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39"/>
      <c r="M74" s="39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39"/>
      <c r="M75" s="39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39"/>
      <c r="M76" s="39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39"/>
      <c r="M77" s="39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39"/>
      <c r="M78" s="39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39"/>
      <c r="M79" s="39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39"/>
      <c r="M80" s="39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39"/>
      <c r="M81" s="39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39"/>
      <c r="M82" s="39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39"/>
      <c r="M83" s="39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39"/>
      <c r="M84" s="39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39"/>
      <c r="M85" s="39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39"/>
      <c r="M86" s="39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39"/>
      <c r="M87" s="39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39"/>
      <c r="M88" s="39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39"/>
      <c r="M89" s="39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39"/>
      <c r="M90" s="39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39"/>
      <c r="M91" s="39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39"/>
      <c r="M92" s="39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39"/>
      <c r="M93" s="39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39"/>
      <c r="M94" s="39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39"/>
      <c r="M95" s="39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39"/>
      <c r="M96" s="39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39"/>
      <c r="M97" s="39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39"/>
      <c r="M98" s="39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39"/>
      <c r="M99" s="39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39"/>
      <c r="M100" s="39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39"/>
      <c r="M101" s="39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39"/>
      <c r="M102" s="39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39"/>
      <c r="M103" s="39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39"/>
      <c r="M104" s="39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39"/>
      <c r="M105" s="39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39"/>
      <c r="M106" s="39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39"/>
      <c r="M107" s="39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39"/>
      <c r="M108" s="39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39"/>
      <c r="M109" s="39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39"/>
      <c r="M110" s="39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39"/>
      <c r="M111" s="39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39"/>
      <c r="M112" s="39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39"/>
      <c r="M113" s="39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39"/>
      <c r="M114" s="39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39"/>
      <c r="M115" s="39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39"/>
      <c r="M116" s="39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39"/>
      <c r="M117" s="39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39"/>
      <c r="M118" s="39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39"/>
      <c r="M119" s="39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39"/>
      <c r="M120" s="39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39"/>
      <c r="M121" s="39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39"/>
      <c r="M122" s="39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39"/>
      <c r="M123" s="39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39"/>
      <c r="M124" s="39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39"/>
      <c r="M125" s="39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39"/>
      <c r="M126" s="39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39"/>
      <c r="M127" s="39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39"/>
      <c r="M128" s="39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39"/>
      <c r="M129" s="39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39"/>
      <c r="M130" s="39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39"/>
      <c r="M131" s="39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39"/>
      <c r="M132" s="39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39"/>
      <c r="M133" s="39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39"/>
      <c r="M134" s="39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39"/>
      <c r="M135" s="39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39"/>
      <c r="M136" s="39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39"/>
      <c r="M137" s="39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39"/>
      <c r="M138" s="39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39"/>
      <c r="M139" s="39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39"/>
      <c r="M140" s="39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39"/>
      <c r="M141" s="39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39"/>
      <c r="M142" s="39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39"/>
      <c r="M143" s="39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39"/>
      <c r="M144" s="39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39"/>
      <c r="M145" s="39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39"/>
      <c r="M146" s="39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39"/>
      <c r="M147" s="39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39"/>
      <c r="M148" s="39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39"/>
      <c r="M149" s="39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39"/>
      <c r="M150" s="39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39"/>
      <c r="M151" s="39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39"/>
      <c r="M152" s="39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39"/>
      <c r="M153" s="39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39"/>
      <c r="M154" s="39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39"/>
      <c r="M155" s="39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39"/>
      <c r="M156" s="39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39"/>
      <c r="M157" s="39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39"/>
      <c r="M158" s="39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39"/>
      <c r="M159" s="39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39"/>
      <c r="M160" s="39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39"/>
      <c r="M161" s="39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39"/>
      <c r="M162" s="39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39"/>
      <c r="M163" s="39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39"/>
      <c r="M164" s="39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39"/>
      <c r="M165" s="39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39"/>
      <c r="M166" s="39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39"/>
      <c r="M167" s="39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39"/>
      <c r="M168" s="39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39"/>
      <c r="M169" s="39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39"/>
      <c r="M170" s="39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39"/>
      <c r="M171" s="39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39"/>
      <c r="M172" s="39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39"/>
      <c r="M173" s="39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39"/>
      <c r="M174" s="39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39"/>
      <c r="M175" s="39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39"/>
      <c r="M176" s="39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39"/>
      <c r="M177" s="39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39"/>
      <c r="M178" s="39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39"/>
      <c r="M179" s="39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39"/>
      <c r="M180" s="39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39"/>
      <c r="M181" s="39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39"/>
      <c r="M182" s="39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39"/>
      <c r="M183" s="39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39"/>
      <c r="M184" s="39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39"/>
      <c r="M185" s="39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39"/>
      <c r="M186" s="39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39"/>
      <c r="M187" s="39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39"/>
      <c r="M188" s="39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39"/>
      <c r="M189" s="39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39"/>
      <c r="M190" s="39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39"/>
      <c r="M191" s="39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39"/>
      <c r="M192" s="39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39"/>
      <c r="M193" s="39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39"/>
      <c r="M194" s="39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39"/>
      <c r="M195" s="39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39"/>
      <c r="M196" s="39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39"/>
      <c r="M197" s="39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39"/>
      <c r="M198" s="39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39"/>
      <c r="M199" s="39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39"/>
      <c r="M200" s="39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39"/>
      <c r="M201" s="39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39"/>
      <c r="M202" s="39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39"/>
      <c r="M203" s="39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39"/>
      <c r="M204" s="39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39"/>
      <c r="M205" s="39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39"/>
      <c r="M206" s="39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39"/>
      <c r="M207" s="39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39"/>
      <c r="M208" s="39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39"/>
      <c r="M209" s="39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39"/>
      <c r="M210" s="39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39"/>
      <c r="M211" s="39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39"/>
      <c r="M212" s="39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39"/>
      <c r="M213" s="39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39"/>
      <c r="M214" s="39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39"/>
      <c r="M215" s="39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39"/>
      <c r="M216" s="39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39"/>
      <c r="M217" s="39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39"/>
      <c r="M218" s="39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39"/>
      <c r="M219" s="39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39"/>
      <c r="M220" s="39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39"/>
      <c r="M221" s="39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39"/>
      <c r="M222" s="39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39"/>
      <c r="M223" s="39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39"/>
      <c r="M224" s="39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39"/>
      <c r="M225" s="39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39"/>
      <c r="M226" s="39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39"/>
      <c r="M227" s="39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39"/>
      <c r="M228" s="39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39"/>
      <c r="M229" s="39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39"/>
      <c r="M230" s="39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39"/>
      <c r="M231" s="39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39"/>
      <c r="M232" s="39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39"/>
      <c r="M233" s="39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39"/>
      <c r="M234" s="39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39"/>
      <c r="M235" s="39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39"/>
      <c r="M236" s="39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39"/>
      <c r="M237" s="39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39"/>
      <c r="M238" s="39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39"/>
      <c r="M239" s="39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39"/>
      <c r="M240" s="39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39"/>
      <c r="M241" s="39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39"/>
      <c r="M242" s="39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39"/>
      <c r="M243" s="39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39"/>
      <c r="M244" s="39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39"/>
      <c r="M245" s="39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39"/>
      <c r="M246" s="39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39"/>
      <c r="M247" s="39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39"/>
      <c r="M248" s="39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39"/>
      <c r="M249" s="39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39"/>
      <c r="M250" s="39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39"/>
      <c r="M251" s="39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39"/>
      <c r="M252" s="39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39"/>
      <c r="M253" s="39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39"/>
      <c r="M254" s="39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39"/>
      <c r="M255" s="39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39"/>
      <c r="M256" s="39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39"/>
      <c r="M257" s="39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39"/>
      <c r="M258" s="39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39"/>
      <c r="M259" s="39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39"/>
      <c r="M260" s="39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39"/>
      <c r="M261" s="39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39"/>
      <c r="M262" s="39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39"/>
      <c r="M263" s="39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39"/>
      <c r="M264" s="39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39"/>
      <c r="M265" s="39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39"/>
      <c r="M266" s="39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39"/>
      <c r="M267" s="39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39"/>
      <c r="M268" s="39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39"/>
      <c r="M269" s="39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39"/>
      <c r="M270" s="39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39"/>
      <c r="M271" s="39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39"/>
      <c r="M272" s="39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39"/>
      <c r="M273" s="39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39"/>
      <c r="M274" s="39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39"/>
      <c r="M275" s="39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39"/>
      <c r="M276" s="39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39"/>
      <c r="M277" s="39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39"/>
      <c r="M278" s="39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39"/>
      <c r="M279" s="39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39"/>
      <c r="M280" s="39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39"/>
      <c r="M281" s="39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39"/>
      <c r="M282" s="39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39"/>
      <c r="M283" s="39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39"/>
      <c r="M284" s="39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39"/>
      <c r="M285" s="39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39"/>
      <c r="M286" s="39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39"/>
      <c r="M287" s="39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39"/>
      <c r="M288" s="39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39"/>
      <c r="M289" s="39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39"/>
      <c r="M290" s="39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39"/>
      <c r="M291" s="39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39"/>
      <c r="M292" s="39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39"/>
      <c r="M293" s="39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39"/>
      <c r="M294" s="39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39"/>
      <c r="M295" s="39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39"/>
      <c r="M296" s="39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39"/>
      <c r="M297" s="39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39"/>
      <c r="M298" s="39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39"/>
      <c r="M299" s="39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39"/>
      <c r="M300" s="39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39"/>
      <c r="M301" s="39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39"/>
      <c r="M302" s="39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39"/>
      <c r="M303" s="39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39"/>
      <c r="M304" s="39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39"/>
      <c r="M305" s="39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39"/>
      <c r="M306" s="39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39"/>
      <c r="M307" s="39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39"/>
      <c r="M308" s="39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39"/>
      <c r="M309" s="39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39"/>
      <c r="M310" s="39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39"/>
      <c r="M311" s="39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39"/>
      <c r="M312" s="39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39"/>
      <c r="M313" s="39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39"/>
      <c r="M314" s="39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39"/>
      <c r="M315" s="39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39"/>
      <c r="M316" s="39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39"/>
      <c r="M317" s="39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39"/>
      <c r="M318" s="39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39"/>
      <c r="M319" s="39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39"/>
      <c r="M320" s="39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39"/>
      <c r="M321" s="39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39"/>
      <c r="M322" s="39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39"/>
      <c r="M323" s="39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39"/>
      <c r="M324" s="39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39"/>
      <c r="M325" s="39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39"/>
      <c r="M326" s="39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39"/>
      <c r="M327" s="39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39"/>
      <c r="M328" s="39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39"/>
      <c r="M329" s="39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39"/>
      <c r="M330" s="39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39"/>
      <c r="M331" s="39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39"/>
      <c r="M332" s="39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39"/>
      <c r="M333" s="39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39"/>
      <c r="M334" s="39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39"/>
      <c r="M335" s="39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39"/>
      <c r="M336" s="39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39"/>
      <c r="M337" s="39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39"/>
      <c r="M338" s="39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39"/>
      <c r="M339" s="39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39"/>
      <c r="M340" s="39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39"/>
      <c r="M341" s="39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39"/>
      <c r="M342" s="39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39"/>
      <c r="M343" s="39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39"/>
      <c r="M344" s="39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39"/>
      <c r="M345" s="39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39"/>
      <c r="M346" s="39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39"/>
      <c r="M347" s="39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39"/>
      <c r="M348" s="39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39"/>
      <c r="M349" s="39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39"/>
      <c r="M350" s="39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39"/>
      <c r="M351" s="39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39"/>
      <c r="M352" s="39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39"/>
      <c r="M353" s="39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39"/>
      <c r="M354" s="39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39"/>
      <c r="M355" s="39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39"/>
      <c r="M356" s="39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39"/>
      <c r="M357" s="39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39"/>
      <c r="M358" s="39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39"/>
      <c r="M359" s="39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39"/>
      <c r="M360" s="39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39"/>
      <c r="M361" s="39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39"/>
      <c r="M362" s="39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39"/>
      <c r="M363" s="39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39"/>
      <c r="M364" s="39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39"/>
      <c r="M365" s="39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39"/>
      <c r="M366" s="39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39"/>
      <c r="M367" s="39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39"/>
      <c r="M368" s="39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39"/>
      <c r="M369" s="39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39"/>
      <c r="M370" s="39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39"/>
      <c r="M371" s="39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39"/>
      <c r="M372" s="39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39"/>
      <c r="M373" s="39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39"/>
      <c r="M374" s="39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39"/>
      <c r="M375" s="39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39"/>
      <c r="M376" s="39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39"/>
      <c r="M377" s="39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39"/>
      <c r="M378" s="39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39"/>
      <c r="M379" s="39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39"/>
      <c r="M380" s="39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39"/>
      <c r="M381" s="39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39"/>
      <c r="M382" s="39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39"/>
      <c r="M383" s="39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39"/>
      <c r="M384" s="39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39"/>
      <c r="M385" s="39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39"/>
      <c r="M386" s="39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39"/>
      <c r="M387" s="39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39"/>
      <c r="M388" s="39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39"/>
      <c r="M389" s="39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39"/>
      <c r="M390" s="39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39"/>
      <c r="M391" s="39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39"/>
      <c r="M392" s="39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39"/>
      <c r="M393" s="39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39"/>
      <c r="M394" s="39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39"/>
      <c r="M395" s="39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39"/>
      <c r="M396" s="39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39"/>
      <c r="M397" s="39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39"/>
      <c r="M398" s="39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39"/>
      <c r="M399" s="39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39"/>
      <c r="M400" s="39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39"/>
      <c r="M401" s="39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39"/>
      <c r="M402" s="39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39"/>
      <c r="M403" s="39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39"/>
      <c r="M404" s="39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39"/>
      <c r="M405" s="39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39"/>
      <c r="M406" s="39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39"/>
      <c r="M407" s="39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39"/>
      <c r="M408" s="39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39"/>
      <c r="M409" s="39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39"/>
      <c r="M410" s="39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39"/>
      <c r="M411" s="39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39"/>
      <c r="M412" s="39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39"/>
      <c r="M413" s="39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39"/>
      <c r="M414" s="39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39"/>
      <c r="M415" s="39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39"/>
      <c r="M416" s="39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39"/>
      <c r="M417" s="39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39"/>
      <c r="M418" s="39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39"/>
      <c r="M419" s="39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39"/>
      <c r="M420" s="39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39"/>
      <c r="M421" s="39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39"/>
      <c r="M422" s="39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39"/>
      <c r="M423" s="39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39"/>
      <c r="M424" s="39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39"/>
      <c r="M425" s="39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39"/>
      <c r="M426" s="39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39"/>
      <c r="M427" s="39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39"/>
      <c r="M428" s="39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39"/>
      <c r="M429" s="39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39"/>
      <c r="M430" s="39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39"/>
      <c r="M431" s="39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39"/>
      <c r="M432" s="39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39"/>
      <c r="M433" s="39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39"/>
      <c r="M434" s="39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39"/>
      <c r="M435" s="39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39"/>
      <c r="M436" s="39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39"/>
      <c r="M437" s="39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39"/>
      <c r="M438" s="39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39"/>
      <c r="M439" s="39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39"/>
      <c r="M440" s="39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39"/>
      <c r="M441" s="39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39"/>
      <c r="M442" s="39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39"/>
      <c r="M443" s="39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39"/>
      <c r="M444" s="39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39"/>
      <c r="M445" s="39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39"/>
      <c r="M446" s="39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39"/>
      <c r="M447" s="39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39"/>
      <c r="M448" s="39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39"/>
      <c r="M449" s="39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39"/>
      <c r="M450" s="39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39"/>
      <c r="M451" s="39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39"/>
      <c r="M452" s="39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39"/>
      <c r="M453" s="39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39"/>
      <c r="M454" s="39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39"/>
      <c r="M455" s="39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39"/>
      <c r="M456" s="39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39"/>
      <c r="M457" s="39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39"/>
      <c r="M458" s="39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39"/>
      <c r="M459" s="39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39"/>
      <c r="M460" s="39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39"/>
      <c r="M461" s="39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39"/>
      <c r="M462" s="39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39"/>
      <c r="M463" s="39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39"/>
      <c r="M464" s="39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39"/>
      <c r="M465" s="39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39"/>
      <c r="M466" s="39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39"/>
      <c r="M467" s="39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39"/>
      <c r="M468" s="39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39"/>
      <c r="M469" s="39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39"/>
      <c r="M470" s="39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39"/>
      <c r="M471" s="39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39"/>
      <c r="M472" s="39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39"/>
      <c r="M473" s="39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39"/>
      <c r="M474" s="39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39"/>
      <c r="M475" s="39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39"/>
      <c r="M476" s="39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39"/>
      <c r="M477" s="39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39"/>
      <c r="M478" s="39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39"/>
      <c r="M479" s="39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39"/>
      <c r="M480" s="39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39"/>
      <c r="M481" s="39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39"/>
      <c r="M482" s="39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39"/>
      <c r="M483" s="39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39"/>
      <c r="M484" s="39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39"/>
      <c r="M485" s="39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39"/>
      <c r="M486" s="39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39"/>
      <c r="M487" s="39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39"/>
      <c r="M488" s="39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39"/>
      <c r="M489" s="39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39"/>
      <c r="M490" s="39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39"/>
      <c r="M491" s="39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39"/>
      <c r="M492" s="39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39"/>
      <c r="M493" s="39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39"/>
      <c r="M494" s="39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39"/>
      <c r="M495" s="39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39"/>
      <c r="M496" s="39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39"/>
      <c r="M497" s="39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39"/>
      <c r="M498" s="39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39"/>
      <c r="M499" s="39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39"/>
      <c r="M500" s="39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39"/>
      <c r="M501" s="39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39"/>
      <c r="M502" s="39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39"/>
      <c r="M503" s="39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39"/>
      <c r="M504" s="39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39"/>
      <c r="M505" s="39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39"/>
      <c r="M506" s="39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39"/>
      <c r="M507" s="39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39"/>
      <c r="M508" s="39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39"/>
      <c r="M509" s="39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39"/>
      <c r="M510" s="39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39"/>
      <c r="M511" s="39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39"/>
      <c r="M512" s="39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39"/>
      <c r="M513" s="39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39"/>
      <c r="M514" s="39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39"/>
      <c r="M515" s="39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39"/>
      <c r="M516" s="39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39"/>
      <c r="M517" s="39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39"/>
      <c r="M518" s="39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39"/>
      <c r="M519" s="39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39"/>
      <c r="M520" s="39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39"/>
      <c r="M521" s="39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39"/>
      <c r="M522" s="39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39"/>
      <c r="M523" s="39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39"/>
      <c r="M524" s="39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39"/>
      <c r="M525" s="39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39"/>
      <c r="M526" s="39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39"/>
      <c r="M527" s="39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39"/>
      <c r="M528" s="39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39"/>
      <c r="M529" s="39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39"/>
      <c r="M530" s="39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39"/>
      <c r="M531" s="39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39"/>
      <c r="M532" s="39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39"/>
      <c r="M533" s="39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39"/>
      <c r="M534" s="39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39"/>
      <c r="M535" s="39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39"/>
      <c r="M536" s="39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39"/>
      <c r="M537" s="39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39"/>
      <c r="M538" s="39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39"/>
      <c r="M539" s="39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39"/>
      <c r="M540" s="39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39"/>
      <c r="M541" s="39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39"/>
      <c r="M542" s="39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39"/>
      <c r="M543" s="39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39"/>
      <c r="M544" s="39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39"/>
      <c r="M545" s="39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39"/>
      <c r="M546" s="39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39"/>
      <c r="M547" s="39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39"/>
      <c r="M548" s="39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39"/>
      <c r="M549" s="39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39"/>
      <c r="M550" s="39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39"/>
      <c r="M551" s="39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39"/>
      <c r="M552" s="39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39"/>
      <c r="M553" s="39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39"/>
      <c r="M554" s="39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39"/>
      <c r="M555" s="39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39"/>
      <c r="M556" s="39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39"/>
      <c r="M557" s="39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39"/>
      <c r="M558" s="39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39"/>
      <c r="M559" s="39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39"/>
      <c r="M560" s="39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39"/>
      <c r="M561" s="39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39"/>
      <c r="M562" s="39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39"/>
      <c r="M563" s="39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39"/>
      <c r="M564" s="39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39"/>
      <c r="M565" s="39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39"/>
      <c r="M566" s="39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39"/>
      <c r="M567" s="39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39"/>
      <c r="M568" s="39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39"/>
      <c r="M569" s="39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39"/>
      <c r="M570" s="39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39"/>
      <c r="M571" s="39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39"/>
      <c r="M572" s="39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39"/>
      <c r="M573" s="39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39"/>
      <c r="M574" s="39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39"/>
      <c r="M575" s="39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39"/>
      <c r="M576" s="39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39"/>
      <c r="M577" s="39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39"/>
      <c r="M578" s="39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39"/>
      <c r="M579" s="39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39"/>
      <c r="M580" s="39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39"/>
      <c r="M581" s="39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39"/>
      <c r="M582" s="39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39"/>
      <c r="M583" s="39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39"/>
      <c r="M584" s="39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39"/>
      <c r="M585" s="39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39"/>
      <c r="M586" s="39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39"/>
      <c r="M587" s="39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39"/>
      <c r="M588" s="39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39"/>
      <c r="M589" s="39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39"/>
      <c r="M590" s="39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39"/>
      <c r="M591" s="39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39"/>
      <c r="M592" s="39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39"/>
      <c r="M593" s="39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39"/>
      <c r="M594" s="39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39"/>
      <c r="M595" s="39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39"/>
      <c r="M596" s="39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39"/>
      <c r="M597" s="39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39"/>
      <c r="M598" s="39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39"/>
      <c r="M599" s="39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39"/>
      <c r="M600" s="39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39"/>
      <c r="M601" s="39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39"/>
      <c r="M602" s="39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39"/>
      <c r="M603" s="39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39"/>
      <c r="M604" s="39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39"/>
      <c r="M605" s="39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39"/>
      <c r="M606" s="39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39"/>
      <c r="M607" s="39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39"/>
      <c r="M608" s="39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39"/>
      <c r="M609" s="39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39"/>
      <c r="M610" s="39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39"/>
      <c r="M611" s="39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39"/>
      <c r="M612" s="39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39"/>
      <c r="M613" s="39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39"/>
      <c r="M614" s="39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39"/>
      <c r="M615" s="39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39"/>
      <c r="M616" s="39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39"/>
      <c r="M617" s="39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39"/>
      <c r="M618" s="39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39"/>
      <c r="M619" s="39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39"/>
      <c r="M620" s="39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39"/>
      <c r="M621" s="39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39"/>
      <c r="M622" s="39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39"/>
      <c r="M623" s="39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39"/>
      <c r="M624" s="39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39"/>
      <c r="M625" s="39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39"/>
      <c r="M626" s="39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39"/>
      <c r="M627" s="39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39"/>
      <c r="M628" s="39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39"/>
      <c r="M629" s="39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39"/>
      <c r="M630" s="39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39"/>
      <c r="M631" s="39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39"/>
      <c r="M632" s="39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39"/>
      <c r="M633" s="39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39"/>
      <c r="M634" s="39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39"/>
      <c r="M635" s="39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39"/>
      <c r="M636" s="39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39"/>
      <c r="M637" s="39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39"/>
      <c r="M638" s="39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39"/>
      <c r="M639" s="39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39"/>
      <c r="M640" s="39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39"/>
      <c r="M641" s="39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39"/>
      <c r="M642" s="39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39"/>
      <c r="M643" s="39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39"/>
      <c r="M644" s="39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39"/>
      <c r="M645" s="39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39"/>
      <c r="M646" s="39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39"/>
      <c r="M647" s="39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39"/>
      <c r="M648" s="39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39"/>
      <c r="M649" s="39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39"/>
      <c r="M650" s="39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39"/>
      <c r="M651" s="39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39"/>
      <c r="M652" s="39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39"/>
      <c r="M653" s="39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39"/>
      <c r="M654" s="39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39"/>
      <c r="M655" s="39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39"/>
      <c r="M656" s="39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39"/>
      <c r="M657" s="39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39"/>
      <c r="M658" s="39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39"/>
      <c r="M659" s="39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39"/>
      <c r="M660" s="39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39"/>
      <c r="M661" s="39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39"/>
      <c r="M662" s="39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39"/>
      <c r="M663" s="39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39"/>
      <c r="M664" s="39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39"/>
      <c r="M665" s="39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39"/>
      <c r="M666" s="39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39"/>
      <c r="M667" s="39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39"/>
      <c r="M668" s="39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39"/>
      <c r="M669" s="39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39"/>
      <c r="M670" s="39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39"/>
      <c r="M671" s="39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39"/>
      <c r="M672" s="39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39"/>
      <c r="M673" s="39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39"/>
      <c r="M674" s="39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39"/>
      <c r="M675" s="39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39"/>
      <c r="M676" s="39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39"/>
      <c r="M677" s="39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39"/>
      <c r="M678" s="39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39"/>
      <c r="M679" s="39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39"/>
      <c r="M680" s="39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39"/>
      <c r="M681" s="39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39"/>
      <c r="M682" s="39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39"/>
      <c r="M683" s="39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39"/>
      <c r="M684" s="39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39"/>
      <c r="M685" s="39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39"/>
      <c r="M686" s="39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39"/>
      <c r="M687" s="39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39"/>
      <c r="M688" s="39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39"/>
      <c r="M689" s="39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39"/>
      <c r="M690" s="39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39"/>
      <c r="M691" s="39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39"/>
      <c r="M692" s="39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39"/>
      <c r="M693" s="39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39"/>
      <c r="M694" s="39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39"/>
      <c r="M695" s="39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39"/>
      <c r="M696" s="39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39"/>
      <c r="M697" s="39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39"/>
      <c r="M698" s="39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39"/>
      <c r="M699" s="39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39"/>
      <c r="M700" s="39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39"/>
      <c r="M701" s="39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39"/>
      <c r="M702" s="39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39"/>
      <c r="M703" s="39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39"/>
      <c r="M704" s="39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39"/>
      <c r="M705" s="39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39"/>
      <c r="M706" s="39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39"/>
      <c r="M707" s="39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39"/>
      <c r="M708" s="39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39"/>
      <c r="M709" s="39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39"/>
      <c r="M710" s="39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39"/>
      <c r="M711" s="39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39"/>
      <c r="M712" s="39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39"/>
      <c r="M713" s="39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39"/>
      <c r="M714" s="39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39"/>
      <c r="M715" s="39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39"/>
      <c r="M716" s="39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39"/>
      <c r="M717" s="39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39"/>
      <c r="M718" s="39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39"/>
      <c r="M719" s="39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39"/>
      <c r="M720" s="39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39"/>
      <c r="M721" s="39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39"/>
      <c r="M722" s="39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39"/>
      <c r="M723" s="39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39"/>
      <c r="M724" s="39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39"/>
      <c r="M725" s="39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39"/>
      <c r="M726" s="39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39"/>
      <c r="M727" s="39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39"/>
      <c r="M728" s="39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39"/>
      <c r="M729" s="39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39"/>
      <c r="M730" s="39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39"/>
      <c r="M731" s="39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39"/>
      <c r="M732" s="39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39"/>
      <c r="M733" s="39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39"/>
      <c r="M734" s="39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39"/>
      <c r="M735" s="39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39"/>
      <c r="M736" s="39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39"/>
      <c r="M737" s="39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39"/>
      <c r="M738" s="39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39"/>
      <c r="M739" s="39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39"/>
      <c r="M740" s="39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39"/>
      <c r="M741" s="39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39"/>
      <c r="M742" s="39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39"/>
      <c r="M743" s="39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39"/>
      <c r="M744" s="39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39"/>
      <c r="M745" s="39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39"/>
      <c r="M746" s="39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39"/>
      <c r="M747" s="39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39"/>
      <c r="M748" s="39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39"/>
      <c r="M749" s="39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39"/>
      <c r="M750" s="39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39"/>
      <c r="M751" s="39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39"/>
      <c r="M752" s="39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39"/>
      <c r="M753" s="39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39"/>
      <c r="M754" s="39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39"/>
      <c r="M755" s="39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39"/>
      <c r="M756" s="39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39"/>
      <c r="M757" s="39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39"/>
      <c r="M758" s="39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39"/>
      <c r="M759" s="39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39"/>
      <c r="M760" s="39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39"/>
      <c r="M761" s="39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39"/>
      <c r="M762" s="39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39"/>
      <c r="M763" s="39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39"/>
      <c r="M764" s="39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39"/>
      <c r="M765" s="39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39"/>
      <c r="M766" s="39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39"/>
      <c r="M767" s="39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39"/>
      <c r="M768" s="39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39"/>
      <c r="M769" s="39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39"/>
      <c r="M770" s="39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39"/>
      <c r="M771" s="39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39"/>
      <c r="M772" s="39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39"/>
      <c r="M773" s="39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39"/>
      <c r="M774" s="39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39"/>
      <c r="M775" s="39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39"/>
      <c r="M776" s="39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39"/>
      <c r="M777" s="39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39"/>
      <c r="M778" s="39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39"/>
      <c r="M779" s="39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39"/>
      <c r="M780" s="39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39"/>
      <c r="M781" s="39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39"/>
      <c r="M782" s="39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39"/>
      <c r="M783" s="39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39"/>
      <c r="M784" s="39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39"/>
      <c r="M785" s="39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39"/>
      <c r="M786" s="39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39"/>
      <c r="M787" s="39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39"/>
      <c r="M788" s="39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39"/>
      <c r="M789" s="39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39"/>
      <c r="M790" s="39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39"/>
      <c r="M791" s="39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39"/>
      <c r="M792" s="39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39"/>
      <c r="M793" s="39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39"/>
      <c r="M794" s="39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39"/>
      <c r="M795" s="39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39"/>
      <c r="M796" s="39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39"/>
      <c r="M797" s="39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39"/>
      <c r="M798" s="39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39"/>
      <c r="M799" s="39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39"/>
      <c r="M800" s="39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39"/>
      <c r="M801" s="39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39"/>
      <c r="M802" s="39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39"/>
      <c r="M803" s="39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39"/>
      <c r="M804" s="39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39"/>
      <c r="M805" s="39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39"/>
      <c r="M806" s="39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39"/>
      <c r="M807" s="39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39"/>
      <c r="M808" s="39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39"/>
      <c r="M809" s="39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39"/>
      <c r="M810" s="39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39"/>
      <c r="M811" s="39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39"/>
      <c r="M812" s="39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39"/>
      <c r="M813" s="39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39"/>
      <c r="M814" s="39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39"/>
      <c r="M815" s="39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39"/>
      <c r="M816" s="39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39"/>
      <c r="M817" s="39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39"/>
      <c r="M818" s="39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39"/>
      <c r="M819" s="39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39"/>
      <c r="M820" s="39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39"/>
      <c r="M821" s="39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39"/>
      <c r="M822" s="39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39"/>
      <c r="M823" s="39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39"/>
      <c r="M824" s="39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39"/>
      <c r="M825" s="39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39"/>
      <c r="M826" s="39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39"/>
      <c r="M827" s="39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39"/>
      <c r="M828" s="39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39"/>
      <c r="M829" s="39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39"/>
      <c r="M830" s="39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39"/>
      <c r="M831" s="39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39"/>
      <c r="M832" s="39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39"/>
      <c r="M833" s="39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39"/>
      <c r="M834" s="39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39"/>
      <c r="M835" s="39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39"/>
      <c r="M836" s="39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39"/>
      <c r="M837" s="39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39"/>
      <c r="M838" s="39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39"/>
      <c r="M839" s="39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39"/>
      <c r="M840" s="39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39"/>
      <c r="M841" s="39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39"/>
      <c r="M842" s="39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39"/>
      <c r="M843" s="39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39"/>
      <c r="M844" s="39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39"/>
      <c r="M845" s="39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39"/>
      <c r="M846" s="39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39"/>
      <c r="M847" s="39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39"/>
      <c r="M848" s="39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39"/>
      <c r="M849" s="39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39"/>
      <c r="M850" s="39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39"/>
      <c r="M851" s="39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39"/>
      <c r="M852" s="39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39"/>
      <c r="M853" s="39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39"/>
      <c r="M854" s="39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39"/>
      <c r="M855" s="39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39"/>
      <c r="M856" s="39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39"/>
      <c r="M857" s="39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39"/>
      <c r="M858" s="39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39"/>
      <c r="M859" s="39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39"/>
      <c r="M860" s="39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39"/>
      <c r="M861" s="39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39"/>
      <c r="M862" s="39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39"/>
      <c r="M863" s="39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39"/>
      <c r="M864" s="39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39"/>
      <c r="M865" s="39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39"/>
      <c r="M866" s="39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39"/>
      <c r="M867" s="39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39"/>
      <c r="M868" s="39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39"/>
      <c r="M869" s="39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39"/>
      <c r="M870" s="39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39"/>
      <c r="M871" s="39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39"/>
      <c r="M872" s="39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39"/>
      <c r="M873" s="39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39"/>
      <c r="M874" s="39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39"/>
      <c r="M875" s="39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39"/>
      <c r="M876" s="39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39"/>
      <c r="M877" s="39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39"/>
      <c r="M878" s="39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39"/>
      <c r="M879" s="39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39"/>
      <c r="M880" s="39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39"/>
      <c r="M881" s="39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39"/>
      <c r="M882" s="39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39"/>
      <c r="M883" s="39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39"/>
      <c r="M884" s="39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39"/>
      <c r="M885" s="39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39"/>
      <c r="M886" s="39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39"/>
      <c r="M887" s="39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39"/>
      <c r="M888" s="39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39"/>
      <c r="M889" s="39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39"/>
      <c r="M890" s="39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39"/>
      <c r="M891" s="39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39"/>
      <c r="M892" s="39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39"/>
      <c r="M893" s="39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39"/>
      <c r="M894" s="39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39"/>
      <c r="M895" s="39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39"/>
      <c r="M896" s="39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39"/>
      <c r="M897" s="39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39"/>
      <c r="M898" s="39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39"/>
      <c r="M899" s="39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39"/>
      <c r="M900" s="39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39"/>
      <c r="M901" s="39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39"/>
      <c r="M902" s="39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39"/>
      <c r="M903" s="39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39"/>
      <c r="M904" s="39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39"/>
      <c r="M905" s="39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39"/>
      <c r="M906" s="39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39"/>
      <c r="M907" s="39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39"/>
      <c r="M908" s="39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39"/>
      <c r="M909" s="39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39"/>
      <c r="M910" s="39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39"/>
      <c r="M911" s="39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39"/>
      <c r="M912" s="39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39"/>
      <c r="M913" s="39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39"/>
      <c r="M914" s="39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39"/>
      <c r="M915" s="39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39"/>
      <c r="M916" s="39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39"/>
      <c r="M917" s="39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39"/>
      <c r="M918" s="39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39"/>
      <c r="M919" s="39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39"/>
      <c r="M920" s="39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39"/>
      <c r="M921" s="39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39"/>
      <c r="M922" s="39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39"/>
      <c r="M923" s="39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39"/>
      <c r="M924" s="39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39"/>
      <c r="M925" s="39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39"/>
      <c r="M926" s="39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39"/>
      <c r="M927" s="39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39"/>
      <c r="M928" s="39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39"/>
      <c r="M929" s="39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39"/>
      <c r="M930" s="39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39"/>
      <c r="M931" s="39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39"/>
      <c r="M932" s="39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39"/>
      <c r="M933" s="39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39"/>
      <c r="M934" s="39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39"/>
      <c r="M935" s="39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39"/>
      <c r="M936" s="39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39"/>
      <c r="M937" s="39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39"/>
      <c r="M938" s="39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39"/>
      <c r="M939" s="39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39"/>
      <c r="M940" s="39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39"/>
      <c r="M941" s="39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39"/>
      <c r="M942" s="39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39"/>
      <c r="M943" s="39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39"/>
      <c r="M944" s="39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39"/>
      <c r="M945" s="39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39"/>
      <c r="M946" s="39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39"/>
      <c r="M947" s="39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39"/>
      <c r="M948" s="39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39"/>
      <c r="M949" s="39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39"/>
      <c r="M950" s="39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39"/>
      <c r="M951" s="39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39"/>
      <c r="M952" s="39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39"/>
      <c r="M953" s="39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39"/>
      <c r="M954" s="39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39"/>
      <c r="M955" s="39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39"/>
      <c r="M956" s="39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39"/>
      <c r="M957" s="39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39"/>
      <c r="M958" s="39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39"/>
      <c r="M959" s="39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39"/>
      <c r="M960" s="39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39"/>
      <c r="M961" s="39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39"/>
      <c r="M962" s="39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39"/>
      <c r="M963" s="39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39"/>
      <c r="M964" s="39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39"/>
      <c r="M965" s="39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39"/>
      <c r="M966" s="39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39"/>
      <c r="M967" s="39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39"/>
      <c r="M968" s="39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39"/>
      <c r="M969" s="39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39"/>
      <c r="M970" s="39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39"/>
      <c r="M971" s="39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39"/>
      <c r="M972" s="39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39"/>
      <c r="M973" s="39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39"/>
      <c r="M974" s="39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39"/>
      <c r="M975" s="39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39"/>
      <c r="M976" s="39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39"/>
      <c r="M977" s="39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39"/>
      <c r="M978" s="39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39"/>
      <c r="M979" s="39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39"/>
      <c r="M980" s="39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39"/>
      <c r="M981" s="39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39"/>
      <c r="M982" s="39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39"/>
      <c r="M983" s="39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39"/>
      <c r="M984" s="39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39"/>
      <c r="M985" s="39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39"/>
      <c r="M986" s="39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39"/>
      <c r="M987" s="39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39"/>
      <c r="M988" s="39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39"/>
      <c r="M989" s="39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39"/>
      <c r="M990" s="39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39"/>
      <c r="M991" s="39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39"/>
      <c r="M992" s="39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39"/>
      <c r="M993" s="39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39"/>
      <c r="M994" s="39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39"/>
      <c r="M995" s="39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39"/>
      <c r="M996" s="39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</row>
  </sheetData>
  <mergeCells count="14">
    <mergeCell ref="C4:C5"/>
    <mergeCell ref="D4:H4"/>
    <mergeCell ref="I4:I5"/>
    <mergeCell ref="J4:J5"/>
    <mergeCell ref="K4:M4"/>
    <mergeCell ref="N4:N5"/>
    <mergeCell ref="A1:J1"/>
    <mergeCell ref="A2:J2"/>
    <mergeCell ref="H3:J3"/>
    <mergeCell ref="M3:O3"/>
    <mergeCell ref="Y3:AD3"/>
    <mergeCell ref="A4:A5"/>
    <mergeCell ref="B4:B5"/>
    <mergeCell ref="O4:O5"/>
  </mergeCells>
  <conditionalFormatting sqref="O4:O996 N29:N996">
    <cfRule type="cellIs" dxfId="0" priority="1" operator="greaterThanOrEqual">
      <formula>0</formula>
    </cfRule>
  </conditionalFormatting>
  <conditionalFormatting sqref="O4:O996 N29:N996">
    <cfRule type="cellIs" dxfId="1" priority="2" operator="lessThan">
      <formula>-0.001</formula>
    </cfRule>
  </conditionalFormatting>
  <conditionalFormatting sqref="J6:J28">
    <cfRule type="cellIs" dxfId="2" priority="3" operator="greaterThanOrEqual">
      <formula>3</formula>
    </cfRule>
  </conditionalFormatting>
  <conditionalFormatting sqref="J3:J996">
    <cfRule type="cellIs" dxfId="0" priority="4" operator="lessThanOrEqual">
      <formula>2.999</formula>
    </cfRule>
  </conditionalFormatting>
  <conditionalFormatting sqref="L7">
    <cfRule type="cellIs" dxfId="3" priority="5" operator="lessThanOrEqual">
      <formula>21.51</formula>
    </cfRule>
  </conditionalFormatting>
  <conditionalFormatting sqref="L7">
    <cfRule type="cellIs" dxfId="4" priority="6" operator="greaterThan">
      <formula>21.51</formula>
    </cfRule>
  </conditionalFormatting>
  <conditionalFormatting sqref="L8">
    <cfRule type="cellIs" dxfId="5" priority="7" operator="lessThanOrEqual">
      <formula>31.64</formula>
    </cfRule>
  </conditionalFormatting>
  <conditionalFormatting sqref="L8">
    <cfRule type="cellIs" dxfId="4" priority="8" operator="greaterThan">
      <formula>31.64</formula>
    </cfRule>
  </conditionalFormatting>
  <conditionalFormatting sqref="L9">
    <cfRule type="cellIs" dxfId="6" priority="9" operator="lessThanOrEqual">
      <formula>23.13</formula>
    </cfRule>
  </conditionalFormatting>
  <conditionalFormatting sqref="L9">
    <cfRule type="cellIs" dxfId="4" priority="10" operator="greaterThan">
      <formula>23.13</formula>
    </cfRule>
  </conditionalFormatting>
  <conditionalFormatting sqref="L10">
    <cfRule type="cellIs" dxfId="5" priority="11" operator="lessThanOrEqual">
      <formula>34.67</formula>
    </cfRule>
  </conditionalFormatting>
  <conditionalFormatting sqref="L10">
    <cfRule type="cellIs" dxfId="4" priority="12" operator="greaterThan">
      <formula>34.67</formula>
    </cfRule>
  </conditionalFormatting>
  <conditionalFormatting sqref="L11">
    <cfRule type="cellIs" dxfId="5" priority="13" operator="lessThanOrEqual">
      <formula>26.15</formula>
    </cfRule>
  </conditionalFormatting>
  <conditionalFormatting sqref="L11">
    <cfRule type="notContainsBlanks" dxfId="1" priority="14">
      <formula>LEN(TRIM(L11))&gt;0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15.38"/>
    <col customWidth="1" min="9" max="9" width="21.25"/>
  </cols>
  <sheetData>
    <row r="1" ht="28.5" customHeight="1">
      <c r="A1" s="1" t="s">
        <v>0</v>
      </c>
      <c r="K1" s="1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A2" s="5" t="s">
        <v>50</v>
      </c>
      <c r="K2" s="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5"/>
      <c r="B3" s="5"/>
      <c r="C3" s="5"/>
      <c r="D3" s="5"/>
      <c r="E3" s="5"/>
      <c r="F3" s="5"/>
      <c r="G3" s="5"/>
      <c r="H3" s="54" t="s">
        <v>51</v>
      </c>
      <c r="K3" s="2"/>
      <c r="L3" s="3"/>
      <c r="M3" s="3"/>
      <c r="N3" s="3"/>
      <c r="O3" s="3"/>
      <c r="P3" s="3"/>
      <c r="Q3" s="3"/>
      <c r="R3" s="2"/>
      <c r="S3" s="2"/>
      <c r="T3" s="3" t="s">
        <v>3</v>
      </c>
      <c r="Z3" s="2"/>
      <c r="AA3" s="2"/>
      <c r="AB3" s="2"/>
    </row>
    <row r="4">
      <c r="A4" s="6" t="s">
        <v>16</v>
      </c>
      <c r="B4" s="6" t="s">
        <v>17</v>
      </c>
      <c r="C4" s="6" t="s">
        <v>18</v>
      </c>
      <c r="D4" s="7" t="s">
        <v>6</v>
      </c>
      <c r="E4" s="8"/>
      <c r="F4" s="8"/>
      <c r="G4" s="8"/>
      <c r="H4" s="9"/>
      <c r="I4" s="6" t="s">
        <v>52</v>
      </c>
      <c r="J4" s="6" t="s">
        <v>8</v>
      </c>
      <c r="K4" s="2"/>
      <c r="L4" s="3"/>
      <c r="M4" s="3"/>
      <c r="N4" s="3"/>
      <c r="O4" s="3"/>
      <c r="P4" s="3"/>
      <c r="Q4" s="3"/>
      <c r="R4" s="3"/>
      <c r="S4" s="3"/>
      <c r="T4" s="3">
        <v>1.0</v>
      </c>
      <c r="U4" s="3">
        <v>2.0</v>
      </c>
      <c r="V4" s="3">
        <v>3.0</v>
      </c>
      <c r="W4" s="3">
        <v>4.0</v>
      </c>
      <c r="X4" s="3">
        <v>5.0</v>
      </c>
      <c r="Y4" s="3">
        <v>6.0</v>
      </c>
      <c r="Z4" s="2"/>
      <c r="AA4" s="2"/>
      <c r="AB4" s="2"/>
    </row>
    <row r="5">
      <c r="A5" s="11"/>
      <c r="B5" s="11"/>
      <c r="C5" s="11"/>
      <c r="D5" s="12">
        <v>1.0</v>
      </c>
      <c r="E5" s="12">
        <v>2.0</v>
      </c>
      <c r="F5" s="12">
        <v>3.0</v>
      </c>
      <c r="G5" s="12">
        <v>4.0</v>
      </c>
      <c r="H5" s="12">
        <v>5.0</v>
      </c>
      <c r="I5" s="11"/>
      <c r="J5" s="11"/>
      <c r="K5" s="2"/>
      <c r="L5" s="3" t="s">
        <v>9</v>
      </c>
      <c r="M5" s="3">
        <v>1.0</v>
      </c>
      <c r="N5" s="3">
        <v>2.0</v>
      </c>
      <c r="O5" s="3">
        <v>3.0</v>
      </c>
      <c r="P5" s="3">
        <v>4.0</v>
      </c>
      <c r="Q5" s="3">
        <v>5.0</v>
      </c>
      <c r="R5" s="3" t="s">
        <v>26</v>
      </c>
      <c r="S5" s="3" t="s">
        <v>10</v>
      </c>
      <c r="T5" s="3">
        <v>0.0</v>
      </c>
      <c r="U5" s="3">
        <v>1.0</v>
      </c>
      <c r="V5" s="3">
        <v>2.0</v>
      </c>
      <c r="W5" s="3">
        <v>3.0</v>
      </c>
      <c r="X5" s="3">
        <v>4.0</v>
      </c>
      <c r="Y5" s="3">
        <v>5.0</v>
      </c>
      <c r="Z5" s="3" t="s">
        <v>11</v>
      </c>
      <c r="AA5" s="2"/>
      <c r="AB5" s="2"/>
    </row>
    <row r="6">
      <c r="A6" s="14">
        <v>1.0</v>
      </c>
      <c r="B6" s="55" t="s">
        <v>27</v>
      </c>
      <c r="C6" s="56">
        <v>73.0</v>
      </c>
      <c r="D6" s="57">
        <f t="shared" ref="D6:G6" si="1">E6+M6</f>
        <v>162</v>
      </c>
      <c r="E6" s="57">
        <f t="shared" si="1"/>
        <v>157</v>
      </c>
      <c r="F6" s="57">
        <f t="shared" si="1"/>
        <v>152</v>
      </c>
      <c r="G6" s="57">
        <f t="shared" si="1"/>
        <v>113</v>
      </c>
      <c r="H6" s="56">
        <v>73.0</v>
      </c>
      <c r="I6" s="58">
        <v>19.0</v>
      </c>
      <c r="J6" s="58">
        <f t="shared" ref="J6:J28" si="3">if(AA6=0,1,AA6)</f>
        <v>5</v>
      </c>
      <c r="K6" s="2"/>
      <c r="L6" s="3" t="s">
        <v>12</v>
      </c>
      <c r="M6" s="38">
        <v>5.0</v>
      </c>
      <c r="N6" s="38">
        <v>5.0</v>
      </c>
      <c r="O6" s="38">
        <v>39.0</v>
      </c>
      <c r="P6" s="38">
        <v>40.0</v>
      </c>
      <c r="Q6" s="38">
        <v>5.0</v>
      </c>
      <c r="R6" s="3">
        <v>1.0</v>
      </c>
      <c r="S6" s="2">
        <f t="shared" ref="S6:S28" si="4">if(I6&gt;D6,0,if(I6&gt;E6,1,if(I6&gt;F6,2,if(I6&gt;G6,3,if(I6&gt;H6,4,5)))))</f>
        <v>5</v>
      </c>
      <c r="T6" s="2">
        <f t="shared" ref="T6:T28" si="5">S6</f>
        <v>5</v>
      </c>
      <c r="U6" s="2">
        <f t="shared" ref="U6:U28" si="6">(D6-I6)/M6+1</f>
        <v>29.6</v>
      </c>
      <c r="V6" s="2">
        <f t="shared" ref="V6:V28" si="7">(E6-I6)/N6+2</f>
        <v>29.6</v>
      </c>
      <c r="W6" s="2">
        <f t="shared" ref="W6:W28" si="8">(F6-I6)/O6+3</f>
        <v>6.41025641</v>
      </c>
      <c r="X6" s="2">
        <f t="shared" ref="X6:X28" si="9">(G6-I6)/P6+4</f>
        <v>6.35</v>
      </c>
      <c r="Y6" s="3">
        <v>5.0</v>
      </c>
      <c r="Z6" s="2">
        <f t="shared" ref="Z6:Z28" si="10">S6+3</f>
        <v>8</v>
      </c>
      <c r="AA6" s="2">
        <f t="shared" ref="AA6:AA28" si="11">VLOOKUP(A6,$R$5:$Y$28,Z6,0)</f>
        <v>5</v>
      </c>
      <c r="AB6" s="2"/>
    </row>
    <row r="7">
      <c r="A7" s="14">
        <v>2.0</v>
      </c>
      <c r="B7" s="55" t="s">
        <v>28</v>
      </c>
      <c r="C7" s="56">
        <v>70.0</v>
      </c>
      <c r="D7" s="57">
        <f t="shared" ref="D7:G7" si="2">E7+M7</f>
        <v>159</v>
      </c>
      <c r="E7" s="57">
        <f t="shared" si="2"/>
        <v>154</v>
      </c>
      <c r="F7" s="57">
        <f t="shared" si="2"/>
        <v>149</v>
      </c>
      <c r="G7" s="57">
        <f t="shared" si="2"/>
        <v>110</v>
      </c>
      <c r="H7" s="56">
        <v>70.0</v>
      </c>
      <c r="I7" s="58">
        <v>24.0</v>
      </c>
      <c r="J7" s="58">
        <f t="shared" si="3"/>
        <v>5</v>
      </c>
      <c r="K7" s="2"/>
      <c r="L7" s="3"/>
      <c r="M7" s="38">
        <v>5.0</v>
      </c>
      <c r="N7" s="38">
        <v>5.0</v>
      </c>
      <c r="O7" s="38">
        <v>39.0</v>
      </c>
      <c r="P7" s="38">
        <v>40.0</v>
      </c>
      <c r="Q7" s="38">
        <v>5.0</v>
      </c>
      <c r="R7" s="3">
        <v>2.0</v>
      </c>
      <c r="S7" s="2">
        <f t="shared" si="4"/>
        <v>5</v>
      </c>
      <c r="T7" s="2">
        <f t="shared" si="5"/>
        <v>5</v>
      </c>
      <c r="U7" s="2">
        <f t="shared" si="6"/>
        <v>28</v>
      </c>
      <c r="V7" s="2">
        <f t="shared" si="7"/>
        <v>28</v>
      </c>
      <c r="W7" s="2">
        <f t="shared" si="8"/>
        <v>6.205128205</v>
      </c>
      <c r="X7" s="2">
        <f t="shared" si="9"/>
        <v>6.15</v>
      </c>
      <c r="Y7" s="3">
        <v>5.0</v>
      </c>
      <c r="Z7" s="2">
        <f t="shared" si="10"/>
        <v>8</v>
      </c>
      <c r="AA7" s="2">
        <f t="shared" si="11"/>
        <v>5</v>
      </c>
      <c r="AB7" s="2"/>
    </row>
    <row r="8">
      <c r="A8" s="14">
        <v>3.0</v>
      </c>
      <c r="B8" s="55" t="s">
        <v>29</v>
      </c>
      <c r="C8" s="56">
        <v>18.0</v>
      </c>
      <c r="D8" s="57">
        <f t="shared" ref="D8:G8" si="12">E8+M8</f>
        <v>107</v>
      </c>
      <c r="E8" s="57">
        <f t="shared" si="12"/>
        <v>102</v>
      </c>
      <c r="F8" s="57">
        <f t="shared" si="12"/>
        <v>97</v>
      </c>
      <c r="G8" s="57">
        <f t="shared" si="12"/>
        <v>58</v>
      </c>
      <c r="H8" s="56">
        <v>18.0</v>
      </c>
      <c r="I8" s="58">
        <v>12.0</v>
      </c>
      <c r="J8" s="58">
        <f t="shared" si="3"/>
        <v>5</v>
      </c>
      <c r="K8" s="2"/>
      <c r="L8" s="2"/>
      <c r="M8" s="38">
        <v>5.0</v>
      </c>
      <c r="N8" s="38">
        <v>5.0</v>
      </c>
      <c r="O8" s="38">
        <v>39.0</v>
      </c>
      <c r="P8" s="38">
        <v>40.0</v>
      </c>
      <c r="Q8" s="38">
        <v>5.0</v>
      </c>
      <c r="R8" s="3">
        <v>3.0</v>
      </c>
      <c r="S8" s="2">
        <f t="shared" si="4"/>
        <v>5</v>
      </c>
      <c r="T8" s="2">
        <f t="shared" si="5"/>
        <v>5</v>
      </c>
      <c r="U8" s="2">
        <f t="shared" si="6"/>
        <v>20</v>
      </c>
      <c r="V8" s="2">
        <f t="shared" si="7"/>
        <v>20</v>
      </c>
      <c r="W8" s="2">
        <f t="shared" si="8"/>
        <v>5.179487179</v>
      </c>
      <c r="X8" s="2">
        <f t="shared" si="9"/>
        <v>5.15</v>
      </c>
      <c r="Y8" s="3">
        <v>5.0</v>
      </c>
      <c r="Z8" s="2">
        <f t="shared" si="10"/>
        <v>8</v>
      </c>
      <c r="AA8" s="2">
        <f t="shared" si="11"/>
        <v>5</v>
      </c>
      <c r="AB8" s="2"/>
    </row>
    <row r="9">
      <c r="A9" s="14">
        <v>4.0</v>
      </c>
      <c r="B9" s="55" t="s">
        <v>30</v>
      </c>
      <c r="C9" s="56">
        <v>36.0</v>
      </c>
      <c r="D9" s="57">
        <f t="shared" ref="D9:G9" si="13">E9+M9</f>
        <v>125</v>
      </c>
      <c r="E9" s="57">
        <f t="shared" si="13"/>
        <v>120</v>
      </c>
      <c r="F9" s="57">
        <f t="shared" si="13"/>
        <v>115</v>
      </c>
      <c r="G9" s="57">
        <f t="shared" si="13"/>
        <v>76</v>
      </c>
      <c r="H9" s="56">
        <v>36.0</v>
      </c>
      <c r="I9" s="58">
        <v>17.0</v>
      </c>
      <c r="J9" s="58">
        <f t="shared" si="3"/>
        <v>5</v>
      </c>
      <c r="K9" s="2"/>
      <c r="L9" s="2"/>
      <c r="M9" s="38">
        <v>5.0</v>
      </c>
      <c r="N9" s="38">
        <v>5.0</v>
      </c>
      <c r="O9" s="38">
        <v>39.0</v>
      </c>
      <c r="P9" s="38">
        <v>40.0</v>
      </c>
      <c r="Q9" s="38">
        <v>5.0</v>
      </c>
      <c r="R9" s="3">
        <v>4.0</v>
      </c>
      <c r="S9" s="2">
        <f t="shared" si="4"/>
        <v>5</v>
      </c>
      <c r="T9" s="2">
        <f t="shared" si="5"/>
        <v>5</v>
      </c>
      <c r="U9" s="2">
        <f t="shared" si="6"/>
        <v>22.6</v>
      </c>
      <c r="V9" s="2">
        <f t="shared" si="7"/>
        <v>22.6</v>
      </c>
      <c r="W9" s="2">
        <f t="shared" si="8"/>
        <v>5.512820513</v>
      </c>
      <c r="X9" s="2">
        <f t="shared" si="9"/>
        <v>5.475</v>
      </c>
      <c r="Y9" s="3">
        <v>5.0</v>
      </c>
      <c r="Z9" s="2">
        <f t="shared" si="10"/>
        <v>8</v>
      </c>
      <c r="AA9" s="2">
        <f t="shared" si="11"/>
        <v>5</v>
      </c>
      <c r="AB9" s="2"/>
    </row>
    <row r="10">
      <c r="A10" s="14">
        <v>5.0</v>
      </c>
      <c r="B10" s="55" t="s">
        <v>31</v>
      </c>
      <c r="C10" s="56">
        <v>33.0</v>
      </c>
      <c r="D10" s="57">
        <f t="shared" ref="D10:G10" si="14">E10+M10</f>
        <v>122</v>
      </c>
      <c r="E10" s="57">
        <f t="shared" si="14"/>
        <v>117</v>
      </c>
      <c r="F10" s="57">
        <f t="shared" si="14"/>
        <v>112</v>
      </c>
      <c r="G10" s="57">
        <f t="shared" si="14"/>
        <v>73</v>
      </c>
      <c r="H10" s="56">
        <v>33.0</v>
      </c>
      <c r="I10" s="58">
        <v>3.0</v>
      </c>
      <c r="J10" s="58">
        <f t="shared" si="3"/>
        <v>5</v>
      </c>
      <c r="K10" s="2"/>
      <c r="L10" s="2"/>
      <c r="M10" s="38">
        <v>5.0</v>
      </c>
      <c r="N10" s="38">
        <v>5.0</v>
      </c>
      <c r="O10" s="38">
        <v>39.0</v>
      </c>
      <c r="P10" s="38">
        <v>40.0</v>
      </c>
      <c r="Q10" s="38">
        <v>5.0</v>
      </c>
      <c r="R10" s="3">
        <v>5.0</v>
      </c>
      <c r="S10" s="2">
        <f t="shared" si="4"/>
        <v>5</v>
      </c>
      <c r="T10" s="2">
        <f t="shared" si="5"/>
        <v>5</v>
      </c>
      <c r="U10" s="2">
        <f t="shared" si="6"/>
        <v>24.8</v>
      </c>
      <c r="V10" s="2">
        <f t="shared" si="7"/>
        <v>24.8</v>
      </c>
      <c r="W10" s="2">
        <f t="shared" si="8"/>
        <v>5.794871795</v>
      </c>
      <c r="X10" s="2">
        <f t="shared" si="9"/>
        <v>5.75</v>
      </c>
      <c r="Y10" s="3">
        <v>5.0</v>
      </c>
      <c r="Z10" s="2">
        <f t="shared" si="10"/>
        <v>8</v>
      </c>
      <c r="AA10" s="2">
        <f t="shared" si="11"/>
        <v>5</v>
      </c>
      <c r="AB10" s="2"/>
    </row>
    <row r="11">
      <c r="A11" s="14">
        <v>6.0</v>
      </c>
      <c r="B11" s="55" t="s">
        <v>32</v>
      </c>
      <c r="C11" s="56">
        <v>33.0</v>
      </c>
      <c r="D11" s="57">
        <f t="shared" ref="D11:G11" si="15">E11+M11</f>
        <v>122</v>
      </c>
      <c r="E11" s="57">
        <f t="shared" si="15"/>
        <v>117</v>
      </c>
      <c r="F11" s="57">
        <f t="shared" si="15"/>
        <v>112</v>
      </c>
      <c r="G11" s="57">
        <f t="shared" si="15"/>
        <v>73</v>
      </c>
      <c r="H11" s="56">
        <v>33.0</v>
      </c>
      <c r="I11" s="58">
        <v>22.0</v>
      </c>
      <c r="J11" s="58">
        <f t="shared" si="3"/>
        <v>5</v>
      </c>
      <c r="K11" s="2"/>
      <c r="L11" s="2"/>
      <c r="M11" s="38">
        <v>5.0</v>
      </c>
      <c r="N11" s="38">
        <v>5.0</v>
      </c>
      <c r="O11" s="38">
        <v>39.0</v>
      </c>
      <c r="P11" s="38">
        <v>40.0</v>
      </c>
      <c r="Q11" s="38">
        <v>5.0</v>
      </c>
      <c r="R11" s="3">
        <v>6.0</v>
      </c>
      <c r="S11" s="2">
        <f t="shared" si="4"/>
        <v>5</v>
      </c>
      <c r="T11" s="2">
        <f t="shared" si="5"/>
        <v>5</v>
      </c>
      <c r="U11" s="2">
        <f t="shared" si="6"/>
        <v>21</v>
      </c>
      <c r="V11" s="2">
        <f t="shared" si="7"/>
        <v>21</v>
      </c>
      <c r="W11" s="2">
        <f t="shared" si="8"/>
        <v>5.307692308</v>
      </c>
      <c r="X11" s="2">
        <f t="shared" si="9"/>
        <v>5.275</v>
      </c>
      <c r="Y11" s="3">
        <v>5.0</v>
      </c>
      <c r="Z11" s="2">
        <f t="shared" si="10"/>
        <v>8</v>
      </c>
      <c r="AA11" s="2">
        <f t="shared" si="11"/>
        <v>5</v>
      </c>
      <c r="AB11" s="2"/>
    </row>
    <row r="12">
      <c r="A12" s="14">
        <v>7.0</v>
      </c>
      <c r="B12" s="55" t="s">
        <v>33</v>
      </c>
      <c r="C12" s="56">
        <v>14.0</v>
      </c>
      <c r="D12" s="57">
        <f t="shared" ref="D12:G12" si="16">E12+M12</f>
        <v>103</v>
      </c>
      <c r="E12" s="57">
        <f t="shared" si="16"/>
        <v>98</v>
      </c>
      <c r="F12" s="57">
        <f t="shared" si="16"/>
        <v>93</v>
      </c>
      <c r="G12" s="57">
        <f t="shared" si="16"/>
        <v>54</v>
      </c>
      <c r="H12" s="56">
        <v>14.0</v>
      </c>
      <c r="I12" s="58">
        <v>0.0</v>
      </c>
      <c r="J12" s="58">
        <f t="shared" si="3"/>
        <v>5</v>
      </c>
      <c r="K12" s="2"/>
      <c r="L12" s="2"/>
      <c r="M12" s="38">
        <v>5.0</v>
      </c>
      <c r="N12" s="38">
        <v>5.0</v>
      </c>
      <c r="O12" s="38">
        <v>39.0</v>
      </c>
      <c r="P12" s="38">
        <v>40.0</v>
      </c>
      <c r="Q12" s="38">
        <v>5.0</v>
      </c>
      <c r="R12" s="3">
        <v>7.0</v>
      </c>
      <c r="S12" s="2">
        <f t="shared" si="4"/>
        <v>5</v>
      </c>
      <c r="T12" s="2">
        <f t="shared" si="5"/>
        <v>5</v>
      </c>
      <c r="U12" s="2">
        <f t="shared" si="6"/>
        <v>21.6</v>
      </c>
      <c r="V12" s="2">
        <f t="shared" si="7"/>
        <v>21.6</v>
      </c>
      <c r="W12" s="2">
        <f t="shared" si="8"/>
        <v>5.384615385</v>
      </c>
      <c r="X12" s="2">
        <f t="shared" si="9"/>
        <v>5.35</v>
      </c>
      <c r="Y12" s="3">
        <v>5.0</v>
      </c>
      <c r="Z12" s="2">
        <f t="shared" si="10"/>
        <v>8</v>
      </c>
      <c r="AA12" s="2">
        <f t="shared" si="11"/>
        <v>5</v>
      </c>
      <c r="AB12" s="2"/>
    </row>
    <row r="13">
      <c r="A13" s="14">
        <v>8.0</v>
      </c>
      <c r="B13" s="55" t="s">
        <v>34</v>
      </c>
      <c r="C13" s="56">
        <v>14.0</v>
      </c>
      <c r="D13" s="57">
        <f t="shared" ref="D13:G13" si="17">E13+M13</f>
        <v>103</v>
      </c>
      <c r="E13" s="57">
        <f t="shared" si="17"/>
        <v>98</v>
      </c>
      <c r="F13" s="57">
        <f t="shared" si="17"/>
        <v>93</v>
      </c>
      <c r="G13" s="57">
        <f t="shared" si="17"/>
        <v>54</v>
      </c>
      <c r="H13" s="56">
        <v>14.0</v>
      </c>
      <c r="I13" s="58">
        <v>0.0</v>
      </c>
      <c r="J13" s="58">
        <f t="shared" si="3"/>
        <v>5</v>
      </c>
      <c r="K13" s="2"/>
      <c r="L13" s="2"/>
      <c r="M13" s="38">
        <v>5.0</v>
      </c>
      <c r="N13" s="38">
        <v>5.0</v>
      </c>
      <c r="O13" s="38">
        <v>39.0</v>
      </c>
      <c r="P13" s="38">
        <v>40.0</v>
      </c>
      <c r="Q13" s="38">
        <v>5.0</v>
      </c>
      <c r="R13" s="3">
        <v>8.0</v>
      </c>
      <c r="S13" s="2">
        <f t="shared" si="4"/>
        <v>5</v>
      </c>
      <c r="T13" s="2">
        <f t="shared" si="5"/>
        <v>5</v>
      </c>
      <c r="U13" s="2">
        <f t="shared" si="6"/>
        <v>21.6</v>
      </c>
      <c r="V13" s="2">
        <f t="shared" si="7"/>
        <v>21.6</v>
      </c>
      <c r="W13" s="2">
        <f t="shared" si="8"/>
        <v>5.384615385</v>
      </c>
      <c r="X13" s="2">
        <f t="shared" si="9"/>
        <v>5.35</v>
      </c>
      <c r="Y13" s="3">
        <v>5.0</v>
      </c>
      <c r="Z13" s="2">
        <f t="shared" si="10"/>
        <v>8</v>
      </c>
      <c r="AA13" s="2">
        <f t="shared" si="11"/>
        <v>5</v>
      </c>
      <c r="AB13" s="2"/>
    </row>
    <row r="14">
      <c r="A14" s="14">
        <v>9.0</v>
      </c>
      <c r="B14" s="55" t="s">
        <v>35</v>
      </c>
      <c r="C14" s="56">
        <v>33.0</v>
      </c>
      <c r="D14" s="57">
        <f t="shared" ref="D14:G14" si="18">E14+M14</f>
        <v>122</v>
      </c>
      <c r="E14" s="57">
        <f t="shared" si="18"/>
        <v>117</v>
      </c>
      <c r="F14" s="57">
        <f t="shared" si="18"/>
        <v>112</v>
      </c>
      <c r="G14" s="57">
        <f t="shared" si="18"/>
        <v>73</v>
      </c>
      <c r="H14" s="56">
        <v>33.0</v>
      </c>
      <c r="I14" s="58">
        <v>0.0</v>
      </c>
      <c r="J14" s="58">
        <f t="shared" si="3"/>
        <v>5</v>
      </c>
      <c r="K14" s="2"/>
      <c r="L14" s="2"/>
      <c r="M14" s="38">
        <v>5.0</v>
      </c>
      <c r="N14" s="38">
        <v>5.0</v>
      </c>
      <c r="O14" s="38">
        <v>39.0</v>
      </c>
      <c r="P14" s="38">
        <v>40.0</v>
      </c>
      <c r="Q14" s="38">
        <v>5.0</v>
      </c>
      <c r="R14" s="3">
        <v>9.0</v>
      </c>
      <c r="S14" s="2">
        <f t="shared" si="4"/>
        <v>5</v>
      </c>
      <c r="T14" s="2">
        <f t="shared" si="5"/>
        <v>5</v>
      </c>
      <c r="U14" s="2">
        <f t="shared" si="6"/>
        <v>25.4</v>
      </c>
      <c r="V14" s="2">
        <f t="shared" si="7"/>
        <v>25.4</v>
      </c>
      <c r="W14" s="2">
        <f t="shared" si="8"/>
        <v>5.871794872</v>
      </c>
      <c r="X14" s="2">
        <f t="shared" si="9"/>
        <v>5.825</v>
      </c>
      <c r="Y14" s="3">
        <v>5.0</v>
      </c>
      <c r="Z14" s="2">
        <f t="shared" si="10"/>
        <v>8</v>
      </c>
      <c r="AA14" s="2">
        <f t="shared" si="11"/>
        <v>5</v>
      </c>
      <c r="AB14" s="2"/>
    </row>
    <row r="15">
      <c r="A15" s="14">
        <v>10.0</v>
      </c>
      <c r="B15" s="55" t="s">
        <v>36</v>
      </c>
      <c r="C15" s="56">
        <v>14.0</v>
      </c>
      <c r="D15" s="57">
        <f t="shared" ref="D15:G15" si="19">E15+M15</f>
        <v>103</v>
      </c>
      <c r="E15" s="57">
        <f t="shared" si="19"/>
        <v>98</v>
      </c>
      <c r="F15" s="57">
        <f t="shared" si="19"/>
        <v>93</v>
      </c>
      <c r="G15" s="57">
        <f t="shared" si="19"/>
        <v>54</v>
      </c>
      <c r="H15" s="56">
        <v>14.0</v>
      </c>
      <c r="I15" s="58">
        <v>0.0</v>
      </c>
      <c r="J15" s="58">
        <f t="shared" si="3"/>
        <v>5</v>
      </c>
      <c r="K15" s="2"/>
      <c r="L15" s="2"/>
      <c r="M15" s="38">
        <v>5.0</v>
      </c>
      <c r="N15" s="38">
        <v>5.0</v>
      </c>
      <c r="O15" s="38">
        <v>39.0</v>
      </c>
      <c r="P15" s="38">
        <v>40.0</v>
      </c>
      <c r="Q15" s="38">
        <v>5.0</v>
      </c>
      <c r="R15" s="3">
        <v>10.0</v>
      </c>
      <c r="S15" s="2">
        <f t="shared" si="4"/>
        <v>5</v>
      </c>
      <c r="T15" s="2">
        <f t="shared" si="5"/>
        <v>5</v>
      </c>
      <c r="U15" s="2">
        <f t="shared" si="6"/>
        <v>21.6</v>
      </c>
      <c r="V15" s="2">
        <f t="shared" si="7"/>
        <v>21.6</v>
      </c>
      <c r="W15" s="2">
        <f t="shared" si="8"/>
        <v>5.384615385</v>
      </c>
      <c r="X15" s="2">
        <f t="shared" si="9"/>
        <v>5.35</v>
      </c>
      <c r="Y15" s="3">
        <v>5.0</v>
      </c>
      <c r="Z15" s="2">
        <f t="shared" si="10"/>
        <v>8</v>
      </c>
      <c r="AA15" s="2">
        <f t="shared" si="11"/>
        <v>5</v>
      </c>
      <c r="AB15" s="2"/>
    </row>
    <row r="16">
      <c r="A16" s="14">
        <v>11.0</v>
      </c>
      <c r="B16" s="55" t="s">
        <v>37</v>
      </c>
      <c r="C16" s="56">
        <v>23.0</v>
      </c>
      <c r="D16" s="57">
        <f t="shared" ref="D16:G16" si="20">E16+M16</f>
        <v>112</v>
      </c>
      <c r="E16" s="57">
        <f t="shared" si="20"/>
        <v>107</v>
      </c>
      <c r="F16" s="57">
        <f t="shared" si="20"/>
        <v>102</v>
      </c>
      <c r="G16" s="57">
        <f t="shared" si="20"/>
        <v>63</v>
      </c>
      <c r="H16" s="56">
        <v>23.0</v>
      </c>
      <c r="I16" s="58">
        <v>0.0</v>
      </c>
      <c r="J16" s="58">
        <f t="shared" si="3"/>
        <v>5</v>
      </c>
      <c r="K16" s="2"/>
      <c r="L16" s="2"/>
      <c r="M16" s="38">
        <v>5.0</v>
      </c>
      <c r="N16" s="38">
        <v>5.0</v>
      </c>
      <c r="O16" s="38">
        <v>39.0</v>
      </c>
      <c r="P16" s="38">
        <v>40.0</v>
      </c>
      <c r="Q16" s="38">
        <v>5.0</v>
      </c>
      <c r="R16" s="3">
        <v>11.0</v>
      </c>
      <c r="S16" s="2">
        <f t="shared" si="4"/>
        <v>5</v>
      </c>
      <c r="T16" s="2">
        <f t="shared" si="5"/>
        <v>5</v>
      </c>
      <c r="U16" s="2">
        <f t="shared" si="6"/>
        <v>23.4</v>
      </c>
      <c r="V16" s="2">
        <f t="shared" si="7"/>
        <v>23.4</v>
      </c>
      <c r="W16" s="2">
        <f t="shared" si="8"/>
        <v>5.615384615</v>
      </c>
      <c r="X16" s="2">
        <f t="shared" si="9"/>
        <v>5.575</v>
      </c>
      <c r="Y16" s="3">
        <v>5.0</v>
      </c>
      <c r="Z16" s="2">
        <f t="shared" si="10"/>
        <v>8</v>
      </c>
      <c r="AA16" s="2">
        <f t="shared" si="11"/>
        <v>5</v>
      </c>
      <c r="AB16" s="2"/>
    </row>
    <row r="17">
      <c r="A17" s="14">
        <v>12.0</v>
      </c>
      <c r="B17" s="55" t="s">
        <v>38</v>
      </c>
      <c r="C17" s="56">
        <v>41.0</v>
      </c>
      <c r="D17" s="57">
        <f t="shared" ref="D17:G17" si="21">E17+M17</f>
        <v>130</v>
      </c>
      <c r="E17" s="57">
        <f t="shared" si="21"/>
        <v>125</v>
      </c>
      <c r="F17" s="57">
        <f t="shared" si="21"/>
        <v>120</v>
      </c>
      <c r="G17" s="57">
        <f t="shared" si="21"/>
        <v>81</v>
      </c>
      <c r="H17" s="56">
        <v>41.0</v>
      </c>
      <c r="I17" s="58">
        <v>0.0</v>
      </c>
      <c r="J17" s="58">
        <f t="shared" si="3"/>
        <v>5</v>
      </c>
      <c r="K17" s="2"/>
      <c r="L17" s="2"/>
      <c r="M17" s="38">
        <v>5.0</v>
      </c>
      <c r="N17" s="38">
        <v>5.0</v>
      </c>
      <c r="O17" s="38">
        <v>39.0</v>
      </c>
      <c r="P17" s="38">
        <v>40.0</v>
      </c>
      <c r="Q17" s="38">
        <v>5.0</v>
      </c>
      <c r="R17" s="3">
        <v>12.0</v>
      </c>
      <c r="S17" s="2">
        <f t="shared" si="4"/>
        <v>5</v>
      </c>
      <c r="T17" s="2">
        <f t="shared" si="5"/>
        <v>5</v>
      </c>
      <c r="U17" s="2">
        <f t="shared" si="6"/>
        <v>27</v>
      </c>
      <c r="V17" s="2">
        <f t="shared" si="7"/>
        <v>27</v>
      </c>
      <c r="W17" s="2">
        <f t="shared" si="8"/>
        <v>6.076923077</v>
      </c>
      <c r="X17" s="2">
        <f t="shared" si="9"/>
        <v>6.025</v>
      </c>
      <c r="Y17" s="3">
        <v>5.0</v>
      </c>
      <c r="Z17" s="2">
        <f t="shared" si="10"/>
        <v>8</v>
      </c>
      <c r="AA17" s="2">
        <f t="shared" si="11"/>
        <v>5</v>
      </c>
      <c r="AB17" s="2"/>
    </row>
    <row r="18">
      <c r="A18" s="14">
        <v>13.0</v>
      </c>
      <c r="B18" s="55" t="s">
        <v>39</v>
      </c>
      <c r="C18" s="56">
        <v>14.0</v>
      </c>
      <c r="D18" s="57">
        <f t="shared" ref="D18:G18" si="22">E18+M18</f>
        <v>103</v>
      </c>
      <c r="E18" s="57">
        <f t="shared" si="22"/>
        <v>98</v>
      </c>
      <c r="F18" s="57">
        <f t="shared" si="22"/>
        <v>93</v>
      </c>
      <c r="G18" s="57">
        <f t="shared" si="22"/>
        <v>54</v>
      </c>
      <c r="H18" s="56">
        <v>14.0</v>
      </c>
      <c r="I18" s="58">
        <v>0.0</v>
      </c>
      <c r="J18" s="58">
        <f t="shared" si="3"/>
        <v>5</v>
      </c>
      <c r="K18" s="2"/>
      <c r="L18" s="2"/>
      <c r="M18" s="38">
        <v>5.0</v>
      </c>
      <c r="N18" s="38">
        <v>5.0</v>
      </c>
      <c r="O18" s="38">
        <v>39.0</v>
      </c>
      <c r="P18" s="38">
        <v>40.0</v>
      </c>
      <c r="Q18" s="38">
        <v>5.0</v>
      </c>
      <c r="R18" s="3">
        <v>13.0</v>
      </c>
      <c r="S18" s="2">
        <f t="shared" si="4"/>
        <v>5</v>
      </c>
      <c r="T18" s="2">
        <f t="shared" si="5"/>
        <v>5</v>
      </c>
      <c r="U18" s="2">
        <f t="shared" si="6"/>
        <v>21.6</v>
      </c>
      <c r="V18" s="2">
        <f t="shared" si="7"/>
        <v>21.6</v>
      </c>
      <c r="W18" s="2">
        <f t="shared" si="8"/>
        <v>5.384615385</v>
      </c>
      <c r="X18" s="2">
        <f t="shared" si="9"/>
        <v>5.35</v>
      </c>
      <c r="Y18" s="3">
        <v>5.0</v>
      </c>
      <c r="Z18" s="2">
        <f t="shared" si="10"/>
        <v>8</v>
      </c>
      <c r="AA18" s="2">
        <f t="shared" si="11"/>
        <v>5</v>
      </c>
      <c r="AB18" s="2"/>
    </row>
    <row r="19">
      <c r="A19" s="14">
        <v>14.0</v>
      </c>
      <c r="B19" s="55" t="s">
        <v>40</v>
      </c>
      <c r="C19" s="56">
        <v>28.0</v>
      </c>
      <c r="D19" s="57">
        <f t="shared" ref="D19:G19" si="23">E19+M19</f>
        <v>117</v>
      </c>
      <c r="E19" s="57">
        <f t="shared" si="23"/>
        <v>112</v>
      </c>
      <c r="F19" s="57">
        <f t="shared" si="23"/>
        <v>107</v>
      </c>
      <c r="G19" s="57">
        <f t="shared" si="23"/>
        <v>68</v>
      </c>
      <c r="H19" s="56">
        <v>28.0</v>
      </c>
      <c r="I19" s="58">
        <v>0.0</v>
      </c>
      <c r="J19" s="58">
        <f t="shared" si="3"/>
        <v>5</v>
      </c>
      <c r="K19" s="2"/>
      <c r="L19" s="2"/>
      <c r="M19" s="38">
        <v>5.0</v>
      </c>
      <c r="N19" s="38">
        <v>5.0</v>
      </c>
      <c r="O19" s="38">
        <v>39.0</v>
      </c>
      <c r="P19" s="38">
        <v>40.0</v>
      </c>
      <c r="Q19" s="38">
        <v>5.0</v>
      </c>
      <c r="R19" s="3">
        <v>14.0</v>
      </c>
      <c r="S19" s="2">
        <f t="shared" si="4"/>
        <v>5</v>
      </c>
      <c r="T19" s="2">
        <f t="shared" si="5"/>
        <v>5</v>
      </c>
      <c r="U19" s="2">
        <f t="shared" si="6"/>
        <v>24.4</v>
      </c>
      <c r="V19" s="2">
        <f t="shared" si="7"/>
        <v>24.4</v>
      </c>
      <c r="W19" s="2">
        <f t="shared" si="8"/>
        <v>5.743589744</v>
      </c>
      <c r="X19" s="2">
        <f t="shared" si="9"/>
        <v>5.7</v>
      </c>
      <c r="Y19" s="3">
        <v>5.0</v>
      </c>
      <c r="Z19" s="2">
        <f t="shared" si="10"/>
        <v>8</v>
      </c>
      <c r="AA19" s="2">
        <f t="shared" si="11"/>
        <v>5</v>
      </c>
      <c r="AB19" s="2"/>
    </row>
    <row r="20">
      <c r="A20" s="14">
        <v>15.0</v>
      </c>
      <c r="B20" s="55" t="s">
        <v>41</v>
      </c>
      <c r="C20" s="56">
        <v>10.0</v>
      </c>
      <c r="D20" s="57">
        <f t="shared" ref="D20:G20" si="24">E20+M20</f>
        <v>99</v>
      </c>
      <c r="E20" s="57">
        <f t="shared" si="24"/>
        <v>94</v>
      </c>
      <c r="F20" s="57">
        <f t="shared" si="24"/>
        <v>89</v>
      </c>
      <c r="G20" s="57">
        <f t="shared" si="24"/>
        <v>50</v>
      </c>
      <c r="H20" s="56">
        <v>10.0</v>
      </c>
      <c r="I20" s="58">
        <v>1.0</v>
      </c>
      <c r="J20" s="58">
        <f t="shared" si="3"/>
        <v>5</v>
      </c>
      <c r="K20" s="2"/>
      <c r="L20" s="2"/>
      <c r="M20" s="38">
        <v>5.0</v>
      </c>
      <c r="N20" s="38">
        <v>5.0</v>
      </c>
      <c r="O20" s="38">
        <v>39.0</v>
      </c>
      <c r="P20" s="38">
        <v>40.0</v>
      </c>
      <c r="Q20" s="38">
        <v>5.0</v>
      </c>
      <c r="R20" s="3">
        <v>15.0</v>
      </c>
      <c r="S20" s="2">
        <f t="shared" si="4"/>
        <v>5</v>
      </c>
      <c r="T20" s="2">
        <f t="shared" si="5"/>
        <v>5</v>
      </c>
      <c r="U20" s="2">
        <f t="shared" si="6"/>
        <v>20.6</v>
      </c>
      <c r="V20" s="2">
        <f t="shared" si="7"/>
        <v>20.6</v>
      </c>
      <c r="W20" s="2">
        <f t="shared" si="8"/>
        <v>5.256410256</v>
      </c>
      <c r="X20" s="2">
        <f t="shared" si="9"/>
        <v>5.225</v>
      </c>
      <c r="Y20" s="3">
        <v>5.0</v>
      </c>
      <c r="Z20" s="2">
        <f t="shared" si="10"/>
        <v>8</v>
      </c>
      <c r="AA20" s="2">
        <f t="shared" si="11"/>
        <v>5</v>
      </c>
      <c r="AB20" s="2"/>
    </row>
    <row r="21">
      <c r="A21" s="14">
        <v>16.0</v>
      </c>
      <c r="B21" s="55" t="s">
        <v>42</v>
      </c>
      <c r="C21" s="56">
        <v>14.0</v>
      </c>
      <c r="D21" s="57">
        <f t="shared" ref="D21:G21" si="25">E21+M21</f>
        <v>103</v>
      </c>
      <c r="E21" s="57">
        <f t="shared" si="25"/>
        <v>98</v>
      </c>
      <c r="F21" s="57">
        <f t="shared" si="25"/>
        <v>93</v>
      </c>
      <c r="G21" s="57">
        <f t="shared" si="25"/>
        <v>54</v>
      </c>
      <c r="H21" s="56">
        <v>14.0</v>
      </c>
      <c r="I21" s="58">
        <v>4.0</v>
      </c>
      <c r="J21" s="58">
        <f t="shared" si="3"/>
        <v>5</v>
      </c>
      <c r="K21" s="2"/>
      <c r="L21" s="2"/>
      <c r="M21" s="38">
        <v>5.0</v>
      </c>
      <c r="N21" s="38">
        <v>5.0</v>
      </c>
      <c r="O21" s="38">
        <v>39.0</v>
      </c>
      <c r="P21" s="38">
        <v>40.0</v>
      </c>
      <c r="Q21" s="38">
        <v>5.0</v>
      </c>
      <c r="R21" s="3">
        <v>16.0</v>
      </c>
      <c r="S21" s="2">
        <f t="shared" si="4"/>
        <v>5</v>
      </c>
      <c r="T21" s="2">
        <f t="shared" si="5"/>
        <v>5</v>
      </c>
      <c r="U21" s="2">
        <f t="shared" si="6"/>
        <v>20.8</v>
      </c>
      <c r="V21" s="2">
        <f t="shared" si="7"/>
        <v>20.8</v>
      </c>
      <c r="W21" s="2">
        <f t="shared" si="8"/>
        <v>5.282051282</v>
      </c>
      <c r="X21" s="2">
        <f t="shared" si="9"/>
        <v>5.25</v>
      </c>
      <c r="Y21" s="3">
        <v>5.0</v>
      </c>
      <c r="Z21" s="2">
        <f t="shared" si="10"/>
        <v>8</v>
      </c>
      <c r="AA21" s="2">
        <f t="shared" si="11"/>
        <v>5</v>
      </c>
      <c r="AB21" s="2"/>
    </row>
    <row r="22">
      <c r="A22" s="14">
        <v>17.0</v>
      </c>
      <c r="B22" s="55" t="s">
        <v>43</v>
      </c>
      <c r="C22" s="56">
        <v>12.0</v>
      </c>
      <c r="D22" s="57">
        <f t="shared" ref="D22:G22" si="26">E22+M22</f>
        <v>101</v>
      </c>
      <c r="E22" s="57">
        <f t="shared" si="26"/>
        <v>96</v>
      </c>
      <c r="F22" s="57">
        <f t="shared" si="26"/>
        <v>91</v>
      </c>
      <c r="G22" s="57">
        <f t="shared" si="26"/>
        <v>52</v>
      </c>
      <c r="H22" s="56">
        <v>12.0</v>
      </c>
      <c r="I22" s="58">
        <v>0.0</v>
      </c>
      <c r="J22" s="58">
        <f t="shared" si="3"/>
        <v>5</v>
      </c>
      <c r="K22" s="2"/>
      <c r="L22" s="2"/>
      <c r="M22" s="38">
        <v>5.0</v>
      </c>
      <c r="N22" s="38">
        <v>5.0</v>
      </c>
      <c r="O22" s="38">
        <v>39.0</v>
      </c>
      <c r="P22" s="38">
        <v>40.0</v>
      </c>
      <c r="Q22" s="38">
        <v>5.0</v>
      </c>
      <c r="R22" s="3">
        <v>17.0</v>
      </c>
      <c r="S22" s="2">
        <f t="shared" si="4"/>
        <v>5</v>
      </c>
      <c r="T22" s="2">
        <f t="shared" si="5"/>
        <v>5</v>
      </c>
      <c r="U22" s="2">
        <f t="shared" si="6"/>
        <v>21.2</v>
      </c>
      <c r="V22" s="2">
        <f t="shared" si="7"/>
        <v>21.2</v>
      </c>
      <c r="W22" s="2">
        <f t="shared" si="8"/>
        <v>5.333333333</v>
      </c>
      <c r="X22" s="2">
        <f t="shared" si="9"/>
        <v>5.3</v>
      </c>
      <c r="Y22" s="3">
        <v>5.0</v>
      </c>
      <c r="Z22" s="2">
        <f t="shared" si="10"/>
        <v>8</v>
      </c>
      <c r="AA22" s="2">
        <f t="shared" si="11"/>
        <v>5</v>
      </c>
      <c r="AB22" s="2"/>
    </row>
    <row r="23">
      <c r="A23" s="14">
        <v>18.0</v>
      </c>
      <c r="B23" s="55" t="s">
        <v>44</v>
      </c>
      <c r="C23" s="56">
        <v>14.0</v>
      </c>
      <c r="D23" s="57">
        <f t="shared" ref="D23:G23" si="27">E23+M23</f>
        <v>103</v>
      </c>
      <c r="E23" s="57">
        <f t="shared" si="27"/>
        <v>98</v>
      </c>
      <c r="F23" s="57">
        <f t="shared" si="27"/>
        <v>93</v>
      </c>
      <c r="G23" s="57">
        <f t="shared" si="27"/>
        <v>54</v>
      </c>
      <c r="H23" s="56">
        <v>14.0</v>
      </c>
      <c r="I23" s="58">
        <v>0.0</v>
      </c>
      <c r="J23" s="58">
        <f t="shared" si="3"/>
        <v>5</v>
      </c>
      <c r="K23" s="2"/>
      <c r="L23" s="2"/>
      <c r="M23" s="38">
        <v>5.0</v>
      </c>
      <c r="N23" s="38">
        <v>5.0</v>
      </c>
      <c r="O23" s="38">
        <v>39.0</v>
      </c>
      <c r="P23" s="38">
        <v>40.0</v>
      </c>
      <c r="Q23" s="38">
        <v>5.0</v>
      </c>
      <c r="R23" s="3">
        <v>18.0</v>
      </c>
      <c r="S23" s="2">
        <f t="shared" si="4"/>
        <v>5</v>
      </c>
      <c r="T23" s="2">
        <f t="shared" si="5"/>
        <v>5</v>
      </c>
      <c r="U23" s="2">
        <f t="shared" si="6"/>
        <v>21.6</v>
      </c>
      <c r="V23" s="2">
        <f t="shared" si="7"/>
        <v>21.6</v>
      </c>
      <c r="W23" s="2">
        <f t="shared" si="8"/>
        <v>5.384615385</v>
      </c>
      <c r="X23" s="2">
        <f t="shared" si="9"/>
        <v>5.35</v>
      </c>
      <c r="Y23" s="3">
        <v>5.0</v>
      </c>
      <c r="Z23" s="2">
        <f t="shared" si="10"/>
        <v>8</v>
      </c>
      <c r="AA23" s="2">
        <f t="shared" si="11"/>
        <v>5</v>
      </c>
      <c r="AB23" s="2"/>
    </row>
    <row r="24">
      <c r="A24" s="14">
        <v>19.0</v>
      </c>
      <c r="B24" s="55" t="s">
        <v>45</v>
      </c>
      <c r="C24" s="56">
        <v>10.0</v>
      </c>
      <c r="D24" s="57">
        <f t="shared" ref="D24:G24" si="28">E24+M24</f>
        <v>99</v>
      </c>
      <c r="E24" s="57">
        <f t="shared" si="28"/>
        <v>94</v>
      </c>
      <c r="F24" s="57">
        <f t="shared" si="28"/>
        <v>89</v>
      </c>
      <c r="G24" s="57">
        <f t="shared" si="28"/>
        <v>50</v>
      </c>
      <c r="H24" s="56">
        <v>10.0</v>
      </c>
      <c r="I24" s="58">
        <v>0.0</v>
      </c>
      <c r="J24" s="58">
        <f t="shared" si="3"/>
        <v>5</v>
      </c>
      <c r="K24" s="2"/>
      <c r="L24" s="2"/>
      <c r="M24" s="38">
        <v>5.0</v>
      </c>
      <c r="N24" s="38">
        <v>5.0</v>
      </c>
      <c r="O24" s="38">
        <v>39.0</v>
      </c>
      <c r="P24" s="38">
        <v>40.0</v>
      </c>
      <c r="Q24" s="38">
        <v>5.0</v>
      </c>
      <c r="R24" s="3">
        <v>19.0</v>
      </c>
      <c r="S24" s="2">
        <f t="shared" si="4"/>
        <v>5</v>
      </c>
      <c r="T24" s="2">
        <f t="shared" si="5"/>
        <v>5</v>
      </c>
      <c r="U24" s="2">
        <f t="shared" si="6"/>
        <v>20.8</v>
      </c>
      <c r="V24" s="2">
        <f t="shared" si="7"/>
        <v>20.8</v>
      </c>
      <c r="W24" s="2">
        <f t="shared" si="8"/>
        <v>5.282051282</v>
      </c>
      <c r="X24" s="2">
        <f t="shared" si="9"/>
        <v>5.25</v>
      </c>
      <c r="Y24" s="3">
        <v>5.0</v>
      </c>
      <c r="Z24" s="2">
        <f t="shared" si="10"/>
        <v>8</v>
      </c>
      <c r="AA24" s="2">
        <f t="shared" si="11"/>
        <v>5</v>
      </c>
      <c r="AB24" s="2"/>
    </row>
    <row r="25">
      <c r="A25" s="14">
        <v>20.0</v>
      </c>
      <c r="B25" s="55" t="s">
        <v>46</v>
      </c>
      <c r="C25" s="56">
        <v>14.0</v>
      </c>
      <c r="D25" s="57">
        <f t="shared" ref="D25:G25" si="29">E25+M25</f>
        <v>103</v>
      </c>
      <c r="E25" s="57">
        <f t="shared" si="29"/>
        <v>98</v>
      </c>
      <c r="F25" s="57">
        <f t="shared" si="29"/>
        <v>93</v>
      </c>
      <c r="G25" s="57">
        <f t="shared" si="29"/>
        <v>54</v>
      </c>
      <c r="H25" s="56">
        <v>14.0</v>
      </c>
      <c r="I25" s="58">
        <v>0.0</v>
      </c>
      <c r="J25" s="58">
        <f t="shared" si="3"/>
        <v>5</v>
      </c>
      <c r="K25" s="2"/>
      <c r="L25" s="2"/>
      <c r="M25" s="38">
        <v>5.0</v>
      </c>
      <c r="N25" s="38">
        <v>5.0</v>
      </c>
      <c r="O25" s="38">
        <v>39.0</v>
      </c>
      <c r="P25" s="38">
        <v>40.0</v>
      </c>
      <c r="Q25" s="38">
        <v>5.0</v>
      </c>
      <c r="R25" s="3">
        <v>20.0</v>
      </c>
      <c r="S25" s="2">
        <f t="shared" si="4"/>
        <v>5</v>
      </c>
      <c r="T25" s="2">
        <f t="shared" si="5"/>
        <v>5</v>
      </c>
      <c r="U25" s="2">
        <f t="shared" si="6"/>
        <v>21.6</v>
      </c>
      <c r="V25" s="2">
        <f t="shared" si="7"/>
        <v>21.6</v>
      </c>
      <c r="W25" s="2">
        <f t="shared" si="8"/>
        <v>5.384615385</v>
      </c>
      <c r="X25" s="2">
        <f t="shared" si="9"/>
        <v>5.35</v>
      </c>
      <c r="Y25" s="3">
        <v>5.0</v>
      </c>
      <c r="Z25" s="2">
        <f t="shared" si="10"/>
        <v>8</v>
      </c>
      <c r="AA25" s="2">
        <f t="shared" si="11"/>
        <v>5</v>
      </c>
      <c r="AB25" s="2"/>
    </row>
    <row r="26">
      <c r="A26" s="14">
        <v>21.0</v>
      </c>
      <c r="B26" s="55" t="s">
        <v>47</v>
      </c>
      <c r="C26" s="56">
        <v>14.0</v>
      </c>
      <c r="D26" s="57">
        <f t="shared" ref="D26:G26" si="30">E26+M26</f>
        <v>103</v>
      </c>
      <c r="E26" s="57">
        <f t="shared" si="30"/>
        <v>98</v>
      </c>
      <c r="F26" s="57">
        <f t="shared" si="30"/>
        <v>93</v>
      </c>
      <c r="G26" s="57">
        <f t="shared" si="30"/>
        <v>54</v>
      </c>
      <c r="H26" s="56">
        <v>14.0</v>
      </c>
      <c r="I26" s="58">
        <v>2.0</v>
      </c>
      <c r="J26" s="58">
        <f t="shared" si="3"/>
        <v>5</v>
      </c>
      <c r="K26" s="2"/>
      <c r="L26" s="2"/>
      <c r="M26" s="38">
        <v>5.0</v>
      </c>
      <c r="N26" s="38">
        <v>5.0</v>
      </c>
      <c r="O26" s="38">
        <v>39.0</v>
      </c>
      <c r="P26" s="38">
        <v>40.0</v>
      </c>
      <c r="Q26" s="38">
        <v>5.0</v>
      </c>
      <c r="R26" s="3">
        <v>21.0</v>
      </c>
      <c r="S26" s="2">
        <f t="shared" si="4"/>
        <v>5</v>
      </c>
      <c r="T26" s="2">
        <f t="shared" si="5"/>
        <v>5</v>
      </c>
      <c r="U26" s="2">
        <f t="shared" si="6"/>
        <v>21.2</v>
      </c>
      <c r="V26" s="2">
        <f t="shared" si="7"/>
        <v>21.2</v>
      </c>
      <c r="W26" s="2">
        <f t="shared" si="8"/>
        <v>5.333333333</v>
      </c>
      <c r="X26" s="2">
        <f t="shared" si="9"/>
        <v>5.3</v>
      </c>
      <c r="Y26" s="3">
        <v>5.0</v>
      </c>
      <c r="Z26" s="2">
        <f t="shared" si="10"/>
        <v>8</v>
      </c>
      <c r="AA26" s="2">
        <f t="shared" si="11"/>
        <v>5</v>
      </c>
      <c r="AB26" s="2"/>
    </row>
    <row r="27">
      <c r="A27" s="14">
        <v>22.0</v>
      </c>
      <c r="B27" s="55" t="s">
        <v>48</v>
      </c>
      <c r="C27" s="56">
        <v>14.0</v>
      </c>
      <c r="D27" s="57">
        <f t="shared" ref="D27:G27" si="31">E27+M27</f>
        <v>103</v>
      </c>
      <c r="E27" s="57">
        <f t="shared" si="31"/>
        <v>98</v>
      </c>
      <c r="F27" s="57">
        <f t="shared" si="31"/>
        <v>93</v>
      </c>
      <c r="G27" s="57">
        <f t="shared" si="31"/>
        <v>54</v>
      </c>
      <c r="H27" s="56">
        <v>14.0</v>
      </c>
      <c r="I27" s="58">
        <v>0.0</v>
      </c>
      <c r="J27" s="58">
        <f t="shared" si="3"/>
        <v>5</v>
      </c>
      <c r="K27" s="2"/>
      <c r="L27" s="2"/>
      <c r="M27" s="38">
        <v>5.0</v>
      </c>
      <c r="N27" s="38">
        <v>5.0</v>
      </c>
      <c r="O27" s="38">
        <v>39.0</v>
      </c>
      <c r="P27" s="38">
        <v>40.0</v>
      </c>
      <c r="Q27" s="38">
        <v>5.0</v>
      </c>
      <c r="R27" s="3">
        <v>22.0</v>
      </c>
      <c r="S27" s="2">
        <f t="shared" si="4"/>
        <v>5</v>
      </c>
      <c r="T27" s="2">
        <f t="shared" si="5"/>
        <v>5</v>
      </c>
      <c r="U27" s="2">
        <f t="shared" si="6"/>
        <v>21.6</v>
      </c>
      <c r="V27" s="2">
        <f t="shared" si="7"/>
        <v>21.6</v>
      </c>
      <c r="W27" s="2">
        <f t="shared" si="8"/>
        <v>5.384615385</v>
      </c>
      <c r="X27" s="2">
        <f t="shared" si="9"/>
        <v>5.35</v>
      </c>
      <c r="Y27" s="3">
        <v>5.0</v>
      </c>
      <c r="Z27" s="2">
        <f t="shared" si="10"/>
        <v>8</v>
      </c>
      <c r="AA27" s="2">
        <f t="shared" si="11"/>
        <v>5</v>
      </c>
      <c r="AB27" s="2"/>
    </row>
    <row r="28">
      <c r="A28" s="59">
        <v>23.0</v>
      </c>
      <c r="B28" s="60" t="s">
        <v>49</v>
      </c>
      <c r="C28" s="61">
        <v>14.0</v>
      </c>
      <c r="D28" s="62">
        <f t="shared" ref="D28:G28" si="32">E28+M28</f>
        <v>103</v>
      </c>
      <c r="E28" s="62">
        <f t="shared" si="32"/>
        <v>98</v>
      </c>
      <c r="F28" s="62">
        <f t="shared" si="32"/>
        <v>93</v>
      </c>
      <c r="G28" s="62">
        <f t="shared" si="32"/>
        <v>54</v>
      </c>
      <c r="H28" s="61">
        <v>14.0</v>
      </c>
      <c r="I28" s="63">
        <v>3.0</v>
      </c>
      <c r="J28" s="58">
        <f t="shared" si="3"/>
        <v>5</v>
      </c>
      <c r="K28" s="2"/>
      <c r="L28" s="2"/>
      <c r="M28" s="38">
        <v>5.0</v>
      </c>
      <c r="N28" s="38">
        <v>5.0</v>
      </c>
      <c r="O28" s="38">
        <v>39.0</v>
      </c>
      <c r="P28" s="38">
        <v>40.0</v>
      </c>
      <c r="Q28" s="38">
        <v>5.0</v>
      </c>
      <c r="R28" s="3">
        <v>23.0</v>
      </c>
      <c r="S28" s="2">
        <f t="shared" si="4"/>
        <v>5</v>
      </c>
      <c r="T28" s="2">
        <f t="shared" si="5"/>
        <v>5</v>
      </c>
      <c r="U28" s="2">
        <f t="shared" si="6"/>
        <v>21</v>
      </c>
      <c r="V28" s="2">
        <f t="shared" si="7"/>
        <v>21</v>
      </c>
      <c r="W28" s="2">
        <f t="shared" si="8"/>
        <v>5.307692308</v>
      </c>
      <c r="X28" s="2">
        <f t="shared" si="9"/>
        <v>5.275</v>
      </c>
      <c r="Y28" s="3">
        <v>5.0</v>
      </c>
      <c r="Z28" s="2">
        <f t="shared" si="10"/>
        <v>8</v>
      </c>
      <c r="AA28" s="2">
        <f t="shared" si="11"/>
        <v>5</v>
      </c>
      <c r="AB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</sheetData>
  <mergeCells count="10">
    <mergeCell ref="H3:J3"/>
    <mergeCell ref="I4:I5"/>
    <mergeCell ref="J4:J5"/>
    <mergeCell ref="A1:J1"/>
    <mergeCell ref="A2:J2"/>
    <mergeCell ref="T3:Y3"/>
    <mergeCell ref="A4:A5"/>
    <mergeCell ref="B4:B5"/>
    <mergeCell ref="C4:C5"/>
    <mergeCell ref="D4:H4"/>
  </mergeCells>
  <conditionalFormatting sqref="J4:J28">
    <cfRule type="cellIs" dxfId="1" priority="1" operator="greaterThanOrEqual">
      <formula>3</formula>
    </cfRule>
  </conditionalFormatting>
  <conditionalFormatting sqref="J4:J28">
    <cfRule type="cellIs" dxfId="7" priority="2" operator="lessThanOrEqual">
      <formula>2.99</formula>
    </cfRule>
  </conditionalFormatting>
  <drawing r:id="rId1"/>
</worksheet>
</file>