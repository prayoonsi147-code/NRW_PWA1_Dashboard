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4.xml"/>
  <Override ContentType="application/vnd.openxmlformats-officedocument.drawingml.chart+xml" PartName="/xl/charts/chart9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อัตรา" sheetId="1" r:id="rId5"/>
    <sheet state="visible" name="ปริมาณ" sheetId="2" r:id="rId6"/>
    <sheet state="visible" name="ต.ค.68" sheetId="3" r:id="rId7"/>
    <sheet state="visible" name="พ.ย. 68" sheetId="4" r:id="rId8"/>
    <sheet state="visible" name="ธ.ค. 68" sheetId="5" r:id="rId9"/>
    <sheet state="visible" name="ม.ค. 69" sheetId="6" r:id="rId10"/>
    <sheet state="visible" name="ก.พ. 69" sheetId="7" r:id="rId11"/>
  </sheets>
  <definedNames/>
  <calcPr/>
</workbook>
</file>

<file path=xl/sharedStrings.xml><?xml version="1.0" encoding="utf-8"?>
<sst xmlns="http://schemas.openxmlformats.org/spreadsheetml/2006/main" count="481" uniqueCount="133">
  <si>
    <t>Data</t>
  </si>
  <si>
    <t>ปีงบประมาณ 2568</t>
  </si>
  <si>
    <t>ปีงบประมาณ 2569</t>
  </si>
  <si>
    <t>ต.ค. 67</t>
  </si>
  <si>
    <t>พ.ย. 67</t>
  </si>
  <si>
    <t>ธ.ค. 67</t>
  </si>
  <si>
    <t>ม.ค. 68</t>
  </si>
  <si>
    <t>ก.พ. 68</t>
  </si>
  <si>
    <t>มี.ค. 68</t>
  </si>
  <si>
    <t>เม.ย. 68</t>
  </si>
  <si>
    <t>พ.ค. 68</t>
  </si>
  <si>
    <t>มิ.ย. 68</t>
  </si>
  <si>
    <t>ก.ค. 68</t>
  </si>
  <si>
    <t>ส.ค. 68</t>
  </si>
  <si>
    <t>ก.ย. 68</t>
  </si>
  <si>
    <t>ต.ค. 68</t>
  </si>
  <si>
    <t>พ.ย. 68</t>
  </si>
  <si>
    <t>ธ.ค. 68</t>
  </si>
  <si>
    <t>ม.ค. 69</t>
  </si>
  <si>
    <t>ก.พ. 69</t>
  </si>
  <si>
    <t>มี.ค. 69</t>
  </si>
  <si>
    <t>เม.ย. 69</t>
  </si>
  <si>
    <t>พ.ค. 69</t>
  </si>
  <si>
    <t>มิ.ย. 69</t>
  </si>
  <si>
    <t>ก.ค. 69</t>
  </si>
  <si>
    <t>ส.ค. 69</t>
  </si>
  <si>
    <t>ก.ย. 69</t>
  </si>
  <si>
    <t>ชลบุรี (พ)</t>
  </si>
  <si>
    <t>พัทยา (พ)</t>
  </si>
  <si>
    <t>บ้านบึง</t>
  </si>
  <si>
    <t>พนัสนิคม</t>
  </si>
  <si>
    <t>ศรีราชา</t>
  </si>
  <si>
    <t>แหลมฉบัง</t>
  </si>
  <si>
    <t>ฉะเชิงเทรา</t>
  </si>
  <si>
    <t>บางปะกง</t>
  </si>
  <si>
    <t>บางคล้า</t>
  </si>
  <si>
    <t>พนมสารคาม</t>
  </si>
  <si>
    <t>ระยอง</t>
  </si>
  <si>
    <t>บ้านฉาง</t>
  </si>
  <si>
    <t>ปากน้ำประแสร์</t>
  </si>
  <si>
    <t>จันทบุรี</t>
  </si>
  <si>
    <t>ขลุง</t>
  </si>
  <si>
    <t>ตราด</t>
  </si>
  <si>
    <t>คลองใหญ่</t>
  </si>
  <si>
    <t>สระแก้ว</t>
  </si>
  <si>
    <t>วัฒนานคร</t>
  </si>
  <si>
    <t>อรัญประเทศ</t>
  </si>
  <si>
    <t>ปราจีนบุรี</t>
  </si>
  <si>
    <t>กบินทร์บุรี</t>
  </si>
  <si>
    <t>ภาพรวม กปภ.ข.1</t>
  </si>
  <si>
    <t>เดือน</t>
  </si>
  <si>
    <t xml:space="preserve">ข้อมูลน้ำสูญเสียตัวจริงที่ใช้ในการบริหารของ กปภ.เขต 1 เดือนตุลาคม 2568          </t>
  </si>
  <si>
    <t>ลำดับ</t>
  </si>
  <si>
    <t>กปภ.สาขา</t>
  </si>
  <si>
    <t>น้ำผลิตรวมจริง</t>
  </si>
  <si>
    <t>น้ำผลิตจ่ายสุทธิจริง</t>
  </si>
  <si>
    <t>น้ำจำหน่ายจริง</t>
  </si>
  <si>
    <t>น้ำ Blow off จริง</t>
  </si>
  <si>
    <t>น้ำสูญเสียจริง</t>
  </si>
  <si>
    <t>หมายเหตุ</t>
  </si>
  <si>
    <t>ผู้ลงข้อมูล</t>
  </si>
  <si>
    <t>เบอร์ติดต่อ</t>
  </si>
  <si>
    <t>(ลบ.ม.)</t>
  </si>
  <si>
    <t>ปริมาณ (ลบ.ม.)</t>
  </si>
  <si>
    <t>อัตรา (%)</t>
  </si>
  <si>
    <t>อุดมพร ปะระคะ</t>
  </si>
  <si>
    <t>098-9095654</t>
  </si>
  <si>
    <t>สุธินันท์ รัตนพงษ์</t>
  </si>
  <si>
    <t>094-497-0887</t>
  </si>
  <si>
    <t>บริพัฒน์  คมดี</t>
  </si>
  <si>
    <t>092-5013245</t>
  </si>
  <si>
    <t>จิราพัชร ปั้นชู</t>
  </si>
  <si>
    <t>ธนกฤต เล็กตระกูลชัย</t>
  </si>
  <si>
    <t>083-7674284</t>
  </si>
  <si>
    <t>สุทธิรักษ์ รอบคอบ</t>
  </si>
  <si>
    <t>091-873-6353</t>
  </si>
  <si>
    <t>ปัทมา สาริกาแก้ว</t>
  </si>
  <si>
    <t>08-1975-3781</t>
  </si>
  <si>
    <t>สมยศ นาคอุไร</t>
  </si>
  <si>
    <t>081-248-5959</t>
  </si>
  <si>
    <t>นายวันเฉลิม เวียงนนท์</t>
  </si>
  <si>
    <t>081-369-8451</t>
  </si>
  <si>
    <t>หฤพันธ์  โกมินทร์</t>
  </si>
  <si>
    <t>084-601-2285</t>
  </si>
  <si>
    <t>จตุพร เปี่ยมพงศ์สาน</t>
  </si>
  <si>
    <t>ไพรชยนต์ ไชยลิ้นฟ้า</t>
  </si>
  <si>
    <t>091-4685354</t>
  </si>
  <si>
    <t>กัญญารัตน์ ศรีอุดม</t>
  </si>
  <si>
    <t>092-6658041</t>
  </si>
  <si>
    <t>ธนากร นัทธี</t>
  </si>
  <si>
    <t>064-5291360</t>
  </si>
  <si>
    <t>นายธงชัย  จารัตน์</t>
  </si>
  <si>
    <t>087-4496640</t>
  </si>
  <si>
    <t>ฉัตรชัย จันทร์สงค์</t>
  </si>
  <si>
    <t>อภิรัติ เครืออนันต์</t>
  </si>
  <si>
    <t>082-207-7831</t>
  </si>
  <si>
    <t>นายณัฐวุฒิ อ่างเข็ม</t>
  </si>
  <si>
    <t>090-909-9277</t>
  </si>
  <si>
    <t>นายภาณุพัฒน์ ศรีวงษา</t>
  </si>
  <si>
    <t>095-8574448</t>
  </si>
  <si>
    <t>รวม กปภ.ข.1</t>
  </si>
  <si>
    <t xml:space="preserve">ข้อมูลน้ำสูญเสียตัวจริงที่ใช้ในการบริหารของ กปภ.เขต 1 เดือนพฤศจิกายน 2568                                                                </t>
  </si>
  <si>
    <t>น้ำผลิตจ่ายสุทธิจริงสะสม</t>
  </si>
  <si>
    <t>ปริมาณสะสม (ลบ.ม.)</t>
  </si>
  <si>
    <t>อัตราสะสม (%)</t>
  </si>
  <si>
    <t>094-4970887</t>
  </si>
  <si>
    <t>ธนชนัญ สิทธิเวช</t>
  </si>
  <si>
    <t>083-014-1725</t>
  </si>
  <si>
    <t>08-6975-3781</t>
  </si>
  <si>
    <t>จุมพล คลังเจริญพาณิช</t>
  </si>
  <si>
    <t>092-515-3656</t>
  </si>
  <si>
    <t>นายเกียรติศักดิ์  งอกศักดา</t>
  </si>
  <si>
    <t>064-3963619</t>
  </si>
  <si>
    <t>091-468-5354</t>
  </si>
  <si>
    <t>สุทธิพงศ์  นิลเพ็ชร</t>
  </si>
  <si>
    <t>ณยศ เพ็งแก้ว</t>
  </si>
  <si>
    <t>080-6645-916</t>
  </si>
  <si>
    <t>"0629252914</t>
  </si>
  <si>
    <t>ธีทัต สีอุดม</t>
  </si>
  <si>
    <t>ธนวรรธก์ สุวรรณศรี</t>
  </si>
  <si>
    <t>วันเฉลิม เวียงนนท์</t>
  </si>
  <si>
    <t xml:space="preserve">นายณัฐวุฒิ อ่างเข็ม </t>
  </si>
  <si>
    <t>090-9099277</t>
  </si>
  <si>
    <t>น้ำจำหน่ายจริง
(ในOIS เดือน มี.ค.69)</t>
  </si>
  <si>
    <t>น้ำ Blow off จริง
(เดือน ก.พ.69)</t>
  </si>
  <si>
    <t>นายสุธินันท์ รัตนพงษ์</t>
  </si>
  <si>
    <t xml:space="preserve">ปัทมา สาริกาแก้ว </t>
  </si>
  <si>
    <t>จตุพร เปี่ยมพงศ์สานต์</t>
  </si>
  <si>
    <t>096-6695536</t>
  </si>
  <si>
    <t>พชรพรรณ  อะมะตันตรี</t>
  </si>
  <si>
    <t>095-6515390</t>
  </si>
  <si>
    <t>082-2077831</t>
  </si>
  <si>
    <t>ธีทัต ลีอุดม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</si>
</sst>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0.0"/>
      <color rgb="FF000000"/>
      <name val="Verdana"/>
      <scheme val="minor"/>
    </font>
    <font>
      <sz val="15.0"/>
      <color theme="1"/>
      <name val="TH SarabunPSK"/>
    </font>
    <font>
      <b/>
      <sz val="14.0"/>
      <color theme="1"/>
      <name val="Sarabun"/>
    </font>
    <font/>
    <font>
      <sz val="14.0"/>
      <color theme="1"/>
      <name val="Sarabun"/>
    </font>
    <font>
      <b/>
      <sz val="13.0"/>
      <color theme="1"/>
      <name val="Sarabun"/>
    </font>
    <font>
      <sz val="13.0"/>
      <color theme="1"/>
      <name val="Sarabun"/>
    </font>
    <font>
      <sz val="13.0"/>
      <color rgb="FFFF0000"/>
      <name val="Sarabun"/>
    </font>
    <font>
      <sz val="13.0"/>
      <color rgb="FF000000"/>
      <name val="Sarabun"/>
    </font>
    <font>
      <sz val="12.0"/>
      <color rgb="FFFF0000"/>
      <name val="&quot;Cordia New&quot;"/>
    </font>
    <font>
      <sz val="12.0"/>
      <color theme="1"/>
      <name val="&quot;Cordia New&quot;"/>
    </font>
    <font>
      <b/>
      <sz val="15.0"/>
      <color theme="1"/>
      <name val="TH SarabunPSK"/>
    </font>
    <font>
      <sz val="14.0"/>
      <color rgb="FF000000"/>
      <name val="TH SarabunPSK"/>
    </font>
    <font>
      <sz val="16.0"/>
      <color theme="1"/>
      <name val="TH SarabunPSK"/>
    </font>
    <font>
      <sz val="15.0"/>
      <color rgb="FF000000"/>
      <name val="TH SarabunPSK"/>
    </font>
    <font>
      <sz val="15.0"/>
      <color rgb="FF1A1A1A"/>
      <name val="TH SarabunPSK"/>
    </font>
  </fonts>
  <fills count="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FFFF00"/>
        <bgColor rgb="FFFFFF00"/>
      </patternFill>
    </fill>
  </fills>
  <borders count="7">
    <border/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09">
    <xf borderId="0" fillId="0" fontId="0" numFmtId="0" xfId="0" applyAlignment="1" applyFont="1">
      <alignment readingOrder="0" shrinkToFit="0" vertical="bottom" wrapText="0"/>
    </xf>
    <xf borderId="1" fillId="0" fontId="1" numFmtId="4" xfId="0" applyAlignment="1" applyBorder="1" applyFont="1" applyNumberFormat="1">
      <alignment horizontal="right" vertical="bottom"/>
    </xf>
    <xf borderId="2" fillId="0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readingOrder="0"/>
    </xf>
    <xf borderId="4" fillId="0" fontId="3" numFmtId="0" xfId="0" applyBorder="1" applyFont="1"/>
    <xf borderId="1" fillId="0" fontId="3" numFmtId="0" xfId="0" applyBorder="1" applyFont="1"/>
    <xf borderId="3" fillId="0" fontId="4" numFmtId="0" xfId="0" applyAlignment="1" applyBorder="1" applyFont="1">
      <alignment horizontal="center" readingOrder="0"/>
    </xf>
    <xf borderId="0" fillId="0" fontId="4" numFmtId="0" xfId="0" applyFont="1"/>
    <xf borderId="5" fillId="0" fontId="1" numFmtId="4" xfId="0" applyBorder="1" applyFont="1" applyNumberFormat="1"/>
    <xf borderId="6" fillId="0" fontId="4" numFmtId="0" xfId="0" applyAlignment="1" applyBorder="1" applyFont="1">
      <alignment horizontal="center" readingOrder="0" vertical="center"/>
    </xf>
    <xf borderId="5" fillId="0" fontId="2" numFmtId="0" xfId="0" applyAlignment="1" applyBorder="1" applyFont="1">
      <alignment horizontal="center" readingOrder="0"/>
    </xf>
    <xf borderId="5" fillId="0" fontId="4" numFmtId="0" xfId="0" applyAlignment="1" applyBorder="1" applyFont="1">
      <alignment horizontal="center" readingOrder="0"/>
    </xf>
    <xf borderId="5" fillId="0" fontId="1" numFmtId="3" xfId="0" applyAlignment="1" applyBorder="1" applyFont="1" applyNumberFormat="1">
      <alignment readingOrder="0"/>
    </xf>
    <xf borderId="5" fillId="0" fontId="4" numFmtId="2" xfId="0" applyBorder="1" applyFont="1" applyNumberFormat="1"/>
    <xf borderId="5" fillId="0" fontId="4" numFmtId="4" xfId="0" applyBorder="1" applyFont="1" applyNumberFormat="1"/>
    <xf borderId="5" fillId="0" fontId="4" numFmtId="0" xfId="0" applyAlignment="1" applyBorder="1" applyFont="1">
      <alignment readingOrder="0"/>
    </xf>
    <xf borderId="5" fillId="2" fontId="1" numFmtId="4" xfId="0" applyBorder="1" applyFill="1" applyFont="1" applyNumberFormat="1"/>
    <xf borderId="0" fillId="0" fontId="4" numFmtId="3" xfId="0" applyAlignment="1" applyFont="1" applyNumberFormat="1">
      <alignment horizontal="center" readingOrder="0"/>
    </xf>
    <xf borderId="5" fillId="3" fontId="1" numFmtId="4" xfId="0" applyBorder="1" applyFill="1" applyFont="1" applyNumberFormat="1"/>
    <xf borderId="0" fillId="0" fontId="2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5" fillId="0" fontId="4" numFmtId="4" xfId="0" applyAlignment="1" applyBorder="1" applyFont="1" applyNumberFormat="1">
      <alignment horizontal="center"/>
    </xf>
    <xf borderId="5" fillId="0" fontId="4" numFmtId="3" xfId="0" applyAlignment="1" applyBorder="1" applyFont="1" applyNumberFormat="1">
      <alignment horizontal="center" readingOrder="0"/>
    </xf>
    <xf borderId="5" fillId="0" fontId="4" numFmtId="4" xfId="0" applyAlignment="1" applyBorder="1" applyFont="1" applyNumberFormat="1">
      <alignment readingOrder="0"/>
    </xf>
    <xf borderId="5" fillId="0" fontId="4" numFmtId="4" xfId="0" applyAlignment="1" applyBorder="1" applyFont="1" applyNumberFormat="1">
      <alignment horizontal="center" readingOrder="0"/>
    </xf>
    <xf borderId="5" fillId="0" fontId="4" numFmtId="3" xfId="0" applyAlignment="1" applyBorder="1" applyFont="1" applyNumberFormat="1">
      <alignment readingOrder="0"/>
    </xf>
    <xf borderId="0" fillId="0" fontId="5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Font="1"/>
    <xf borderId="2" fillId="0" fontId="5" numFmtId="0" xfId="0" applyAlignment="1" applyBorder="1" applyFont="1">
      <alignment horizontal="center"/>
    </xf>
    <xf borderId="5" fillId="0" fontId="5" numFmtId="0" xfId="0" applyAlignment="1" applyBorder="1" applyFont="1">
      <alignment horizontal="center"/>
    </xf>
    <xf borderId="3" fillId="0" fontId="5" numFmtId="0" xfId="0" applyAlignment="1" applyBorder="1" applyFont="1">
      <alignment horizontal="center"/>
    </xf>
    <xf borderId="2" fillId="0" fontId="5" numFmtId="0" xfId="0" applyAlignment="1" applyBorder="1" applyFont="1">
      <alignment horizontal="center" vertical="center"/>
    </xf>
    <xf borderId="6" fillId="0" fontId="3" numFmtId="0" xfId="0" applyBorder="1" applyFont="1"/>
    <xf borderId="5" fillId="0" fontId="6" numFmtId="0" xfId="0" applyBorder="1" applyFont="1"/>
    <xf borderId="5" fillId="0" fontId="6" numFmtId="0" xfId="0" applyAlignment="1" applyBorder="1" applyFont="1">
      <alignment horizontal="left"/>
    </xf>
    <xf borderId="5" fillId="0" fontId="6" numFmtId="4" xfId="0" applyAlignment="1" applyBorder="1" applyFont="1" applyNumberFormat="1">
      <alignment horizontal="center"/>
    </xf>
    <xf borderId="5" fillId="0" fontId="6" numFmtId="4" xfId="0" applyAlignment="1" applyBorder="1" applyFont="1" applyNumberFormat="1">
      <alignment horizontal="center" readingOrder="0"/>
    </xf>
    <xf borderId="5" fillId="0" fontId="6" numFmtId="4" xfId="0" applyBorder="1" applyFont="1" applyNumberFormat="1"/>
    <xf borderId="5" fillId="0" fontId="6" numFmtId="0" xfId="0" applyAlignment="1" applyBorder="1" applyFont="1">
      <alignment horizontal="center"/>
    </xf>
    <xf borderId="5" fillId="0" fontId="7" numFmtId="4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readingOrder="0"/>
    </xf>
    <xf borderId="5" fillId="0" fontId="6" numFmtId="0" xfId="0" applyAlignment="1" applyBorder="1" applyFont="1">
      <alignment horizontal="center" readingOrder="0"/>
    </xf>
    <xf borderId="5" fillId="0" fontId="6" numFmtId="4" xfId="0" applyAlignment="1" applyBorder="1" applyFont="1" applyNumberFormat="1">
      <alignment horizontal="center" readingOrder="0" vertical="center"/>
    </xf>
    <xf quotePrefix="1" borderId="5" fillId="0" fontId="6" numFmtId="0" xfId="0" applyAlignment="1" applyBorder="1" applyFont="1">
      <alignment horizontal="center" readingOrder="0"/>
    </xf>
    <xf borderId="5" fillId="0" fontId="6" numFmtId="4" xfId="0" applyAlignment="1" applyBorder="1" applyFont="1" applyNumberFormat="1">
      <alignment horizontal="center" vertical="bottom"/>
    </xf>
    <xf borderId="5" fillId="0" fontId="8" numFmtId="4" xfId="0" applyAlignment="1" applyBorder="1" applyFont="1" applyNumberFormat="1">
      <alignment horizontal="center" readingOrder="0"/>
    </xf>
    <xf borderId="5" fillId="0" fontId="6" numFmtId="4" xfId="0" applyAlignment="1" applyBorder="1" applyFont="1" applyNumberFormat="1">
      <alignment readingOrder="0"/>
    </xf>
    <xf borderId="5" fillId="0" fontId="6" numFmtId="0" xfId="0" applyAlignment="1" applyBorder="1" applyFont="1">
      <alignment horizontal="left" readingOrder="0" vertical="center"/>
    </xf>
    <xf borderId="5" fillId="0" fontId="6" numFmtId="0" xfId="0" applyAlignment="1" applyBorder="1" applyFont="1">
      <alignment horizontal="center" readingOrder="0" vertical="center"/>
    </xf>
    <xf borderId="3" fillId="3" fontId="5" numFmtId="0" xfId="0" applyAlignment="1" applyBorder="1" applyFont="1">
      <alignment horizontal="center" readingOrder="0"/>
    </xf>
    <xf borderId="5" fillId="3" fontId="6" numFmtId="4" xfId="0" applyAlignment="1" applyBorder="1" applyFont="1" applyNumberFormat="1">
      <alignment horizontal="center"/>
    </xf>
    <xf borderId="5" fillId="3" fontId="6" numFmtId="4" xfId="0" applyBorder="1" applyFont="1" applyNumberFormat="1"/>
    <xf borderId="0" fillId="0" fontId="6" numFmtId="0" xfId="0" applyAlignment="1" applyFont="1">
      <alignment horizontal="center"/>
    </xf>
    <xf borderId="5" fillId="0" fontId="9" numFmtId="4" xfId="0" applyAlignment="1" applyBorder="1" applyFont="1" applyNumberFormat="1">
      <alignment horizontal="left" readingOrder="0" shrinkToFit="0" vertical="bottom" wrapText="0"/>
    </xf>
    <xf borderId="5" fillId="0" fontId="10" numFmtId="4" xfId="0" applyAlignment="1" applyBorder="1" applyFont="1" applyNumberFormat="1">
      <alignment horizontal="left" readingOrder="0" shrinkToFit="0" vertical="bottom" wrapText="0"/>
    </xf>
    <xf borderId="0" fillId="0" fontId="11" numFmtId="4" xfId="0" applyAlignment="1" applyFont="1" applyNumberFormat="1">
      <alignment horizontal="center" readingOrder="0" vertical="center"/>
    </xf>
    <xf borderId="0" fillId="0" fontId="1" numFmtId="4" xfId="0" applyFont="1" applyNumberFormat="1"/>
    <xf borderId="2" fillId="0" fontId="11" numFmtId="4" xfId="0" applyAlignment="1" applyBorder="1" applyFont="1" applyNumberFormat="1">
      <alignment horizontal="center"/>
    </xf>
    <xf borderId="5" fillId="0" fontId="11" numFmtId="4" xfId="0" applyAlignment="1" applyBorder="1" applyFont="1" applyNumberFormat="1">
      <alignment horizontal="center"/>
    </xf>
    <xf borderId="5" fillId="0" fontId="11" numFmtId="4" xfId="0" applyAlignment="1" applyBorder="1" applyFont="1" applyNumberFormat="1">
      <alignment horizontal="center" readingOrder="0"/>
    </xf>
    <xf borderId="3" fillId="0" fontId="11" numFmtId="4" xfId="0" applyAlignment="1" applyBorder="1" applyFont="1" applyNumberFormat="1">
      <alignment horizontal="center"/>
    </xf>
    <xf borderId="2" fillId="0" fontId="11" numFmtId="4" xfId="0" applyAlignment="1" applyBorder="1" applyFont="1" applyNumberFormat="1">
      <alignment horizontal="center" vertical="center"/>
    </xf>
    <xf borderId="5" fillId="0" fontId="1" numFmtId="3" xfId="0" applyBorder="1" applyFont="1" applyNumberFormat="1"/>
    <xf borderId="5" fillId="0" fontId="1" numFmtId="4" xfId="0" applyAlignment="1" applyBorder="1" applyFont="1" applyNumberFormat="1">
      <alignment horizontal="left"/>
    </xf>
    <xf borderId="5" fillId="0" fontId="1" numFmtId="4" xfId="0" applyAlignment="1" applyBorder="1" applyFont="1" applyNumberFormat="1">
      <alignment horizontal="right" vertical="bottom"/>
    </xf>
    <xf borderId="1" fillId="0" fontId="1" numFmtId="4" xfId="0" applyBorder="1" applyFont="1" applyNumberFormat="1"/>
    <xf borderId="5" fillId="0" fontId="1" numFmtId="4" xfId="0" applyAlignment="1" applyBorder="1" applyFont="1" applyNumberFormat="1">
      <alignment horizontal="center"/>
    </xf>
    <xf borderId="5" fillId="0" fontId="1" numFmtId="4" xfId="0" applyAlignment="1" applyBorder="1" applyFont="1" applyNumberFormat="1">
      <alignment horizontal="right" readingOrder="0" vertical="bottom"/>
    </xf>
    <xf borderId="1" fillId="0" fontId="1" numFmtId="4" xfId="0" applyAlignment="1" applyBorder="1" applyFont="1" applyNumberFormat="1">
      <alignment horizontal="right" readingOrder="0" vertical="bottom"/>
    </xf>
    <xf borderId="5" fillId="0" fontId="1" numFmtId="4" xfId="0" applyAlignment="1" applyBorder="1" applyFont="1" applyNumberFormat="1">
      <alignment readingOrder="0"/>
    </xf>
    <xf borderId="5" fillId="0" fontId="1" numFmtId="4" xfId="0" applyAlignment="1" applyBorder="1" applyFont="1" applyNumberFormat="1">
      <alignment horizontal="center" readingOrder="0"/>
    </xf>
    <xf borderId="5" fillId="0" fontId="1" numFmtId="4" xfId="0" applyAlignment="1" applyBorder="1" applyFont="1" applyNumberFormat="1">
      <alignment horizontal="right" readingOrder="0"/>
    </xf>
    <xf borderId="5" fillId="0" fontId="1" numFmtId="4" xfId="0" applyAlignment="1" applyBorder="1" applyFont="1" applyNumberFormat="1">
      <alignment horizontal="right"/>
    </xf>
    <xf borderId="5" fillId="2" fontId="1" numFmtId="3" xfId="0" applyBorder="1" applyFont="1" applyNumberFormat="1"/>
    <xf borderId="5" fillId="2" fontId="1" numFmtId="4" xfId="0" applyAlignment="1" applyBorder="1" applyFont="1" applyNumberFormat="1">
      <alignment horizontal="left"/>
    </xf>
    <xf borderId="5" fillId="2" fontId="1" numFmtId="4" xfId="0" applyAlignment="1" applyBorder="1" applyFont="1" applyNumberFormat="1">
      <alignment horizontal="right" readingOrder="0"/>
    </xf>
    <xf borderId="5" fillId="2" fontId="1" numFmtId="4" xfId="0" applyAlignment="1" applyBorder="1" applyFont="1" applyNumberFormat="1">
      <alignment readingOrder="0"/>
    </xf>
    <xf borderId="5" fillId="2" fontId="1" numFmtId="4" xfId="0" applyAlignment="1" applyBorder="1" applyFont="1" applyNumberFormat="1">
      <alignment horizontal="center" readingOrder="0"/>
    </xf>
    <xf quotePrefix="1" borderId="5" fillId="0" fontId="1" numFmtId="4" xfId="0" applyAlignment="1" applyBorder="1" applyFont="1" applyNumberFormat="1">
      <alignment horizontal="center" readingOrder="0"/>
    </xf>
    <xf borderId="5" fillId="0" fontId="1" numFmtId="4" xfId="0" applyAlignment="1" applyBorder="1" applyFont="1" applyNumberFormat="1">
      <alignment horizontal="left" readingOrder="0" vertical="center"/>
    </xf>
    <xf borderId="5" fillId="0" fontId="1" numFmtId="4" xfId="0" applyAlignment="1" applyBorder="1" applyFont="1" applyNumberFormat="1">
      <alignment horizontal="center" readingOrder="0" vertical="center"/>
    </xf>
    <xf borderId="3" fillId="3" fontId="11" numFmtId="3" xfId="0" applyAlignment="1" applyBorder="1" applyFont="1" applyNumberFormat="1">
      <alignment horizontal="center" readingOrder="0"/>
    </xf>
    <xf borderId="1" fillId="3" fontId="11" numFmtId="4" xfId="0" applyAlignment="1" applyBorder="1" applyFont="1" applyNumberFormat="1">
      <alignment horizontal="center" readingOrder="0"/>
    </xf>
    <xf borderId="1" fillId="3" fontId="1" numFmtId="4" xfId="0" applyAlignment="1" applyBorder="1" applyFont="1" applyNumberFormat="1">
      <alignment horizontal="right" vertical="bottom"/>
    </xf>
    <xf borderId="5" fillId="0" fontId="12" numFmtId="4" xfId="0" applyAlignment="1" applyBorder="1" applyFont="1" applyNumberFormat="1">
      <alignment horizontal="right" readingOrder="0"/>
    </xf>
    <xf borderId="5" fillId="0" fontId="12" numFmtId="4" xfId="0" applyAlignment="1" applyBorder="1" applyFont="1" applyNumberFormat="1">
      <alignment horizontal="center" readingOrder="0"/>
    </xf>
    <xf quotePrefix="1" borderId="5" fillId="0" fontId="1" numFmtId="0" xfId="0" applyAlignment="1" applyBorder="1" applyFont="1">
      <alignment horizontal="center" readingOrder="0"/>
    </xf>
    <xf borderId="5" fillId="0" fontId="13" numFmtId="4" xfId="0" applyAlignment="1" applyBorder="1" applyFont="1" applyNumberFormat="1">
      <alignment horizontal="right"/>
    </xf>
    <xf borderId="5" fillId="0" fontId="1" numFmtId="0" xfId="0" applyAlignment="1" applyBorder="1" applyFont="1">
      <alignment readingOrder="0"/>
    </xf>
    <xf borderId="1" fillId="2" fontId="1" numFmtId="4" xfId="0" applyAlignment="1" applyBorder="1" applyFont="1" applyNumberFormat="1">
      <alignment horizontal="right" vertical="bottom"/>
    </xf>
    <xf borderId="0" fillId="0" fontId="1" numFmtId="4" xfId="0" applyAlignment="1" applyFont="1" applyNumberFormat="1">
      <alignment horizontal="right" readingOrder="0"/>
    </xf>
    <xf borderId="5" fillId="0" fontId="14" numFmtId="4" xfId="0" applyAlignment="1" applyBorder="1" applyFont="1" applyNumberFormat="1">
      <alignment readingOrder="0"/>
    </xf>
    <xf borderId="5" fillId="0" fontId="13" numFmtId="4" xfId="0" applyAlignment="1" applyBorder="1" applyFont="1" applyNumberFormat="1">
      <alignment horizontal="right" readingOrder="0"/>
    </xf>
    <xf borderId="5" fillId="0" fontId="11" numFmtId="4" xfId="0" applyAlignment="1" applyBorder="1" applyFont="1" applyNumberFormat="1">
      <alignment horizontal="center" vertical="center"/>
    </xf>
    <xf borderId="5" fillId="0" fontId="11" numFmtId="4" xfId="0" applyAlignment="1" applyBorder="1" applyFont="1" applyNumberFormat="1">
      <alignment horizontal="center" readingOrder="0" vertical="center"/>
    </xf>
    <xf borderId="3" fillId="0" fontId="11" numFmtId="4" xfId="0" applyAlignment="1" applyBorder="1" applyFont="1" applyNumberFormat="1">
      <alignment horizontal="center" vertical="center"/>
    </xf>
    <xf borderId="0" fillId="0" fontId="1" numFmtId="4" xfId="0" applyAlignment="1" applyFont="1" applyNumberFormat="1">
      <alignment vertical="center"/>
    </xf>
    <xf borderId="0" fillId="0" fontId="15" numFmtId="4" xfId="0" applyAlignment="1" applyFont="1" applyNumberFormat="1">
      <alignment horizontal="right" readingOrder="0"/>
    </xf>
    <xf borderId="0" fillId="0" fontId="1" numFmtId="4" xfId="0" applyAlignment="1" applyFont="1" applyNumberFormat="1">
      <alignment readingOrder="0"/>
    </xf>
    <xf borderId="5" fillId="0" fontId="1" numFmtId="0" xfId="0" applyAlignment="1" applyBorder="1" applyFont="1">
      <alignment horizontal="center" readingOrder="0"/>
    </xf>
    <xf borderId="5" fillId="4" fontId="1" numFmtId="3" xfId="0" applyBorder="1" applyFill="1" applyFont="1" applyNumberFormat="1"/>
    <xf borderId="5" fillId="4" fontId="1" numFmtId="4" xfId="0" applyAlignment="1" applyBorder="1" applyFont="1" applyNumberFormat="1">
      <alignment horizontal="left"/>
    </xf>
    <xf borderId="5" fillId="4" fontId="1" numFmtId="4" xfId="0" applyAlignment="1" applyBorder="1" applyFont="1" applyNumberFormat="1">
      <alignment readingOrder="0"/>
    </xf>
    <xf borderId="5" fillId="4" fontId="1" numFmtId="4" xfId="0" applyBorder="1" applyFont="1" applyNumberFormat="1"/>
    <xf borderId="1" fillId="4" fontId="1" numFmtId="4" xfId="0" applyAlignment="1" applyBorder="1" applyFont="1" applyNumberFormat="1">
      <alignment horizontal="right" vertical="bottom"/>
    </xf>
    <xf borderId="1" fillId="4" fontId="1" numFmtId="4" xfId="0" applyBorder="1" applyFont="1" applyNumberFormat="1"/>
    <xf borderId="0" fillId="4" fontId="1" numFmtId="4" xfId="0" applyFont="1" applyNumberFormat="1"/>
  </cellXfs>
  <cellStyles count="1">
    <cellStyle xfId="0" name="Normal" builtinId="0"/>
  </cellStyles>
  <dxfs count="2">
    <dxf>
      <font>
        <color rgb="FFFF0000"/>
      </font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'อัตรา'!$E$2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cat>
            <c:strRef>
              <c:f>'อัตรา'!$B$3:$B$8</c:f>
            </c:strRef>
          </c:cat>
          <c:val>
            <c:numRef>
              <c:f>'อัตรา'!$E$3:$E$8</c:f>
              <c:numCache/>
            </c:numRef>
          </c:val>
        </c:ser>
        <c:ser>
          <c:idx val="1"/>
          <c:order val="1"/>
          <c:tx>
            <c:strRef>
              <c:f>'อัตรา'!$F$2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'อัตรา'!$B$3:$B$8</c:f>
            </c:strRef>
          </c:cat>
          <c:val>
            <c:numRef>
              <c:f>'อัตรา'!$F$3:$F$8</c:f>
              <c:numCache/>
            </c:numRef>
          </c:val>
        </c:ser>
        <c:ser>
          <c:idx val="2"/>
          <c:order val="2"/>
          <c:tx>
            <c:strRef>
              <c:f>'อัตรา'!$G$2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'อัตรา'!$G$3:$G$8</c:f>
              <c:numCache/>
            </c:numRef>
          </c:val>
        </c:ser>
        <c:ser>
          <c:idx val="3"/>
          <c:order val="3"/>
          <c:tx>
            <c:strRef>
              <c:f>'อัตรา'!$H$2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'อัตรา'!$H$3:$H$8</c:f>
              <c:numCache/>
            </c:numRef>
          </c:val>
        </c:ser>
        <c:ser>
          <c:idx val="4"/>
          <c:order val="4"/>
          <c:tx>
            <c:strRef>
              <c:f>'อัตรา'!$I$2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'อัตรา'!$I$3:$I$8</c:f>
              <c:numCache/>
            </c:numRef>
          </c:val>
        </c:ser>
        <c:ser>
          <c:idx val="5"/>
          <c:order val="5"/>
          <c:tx>
            <c:strRef>
              <c:f>'อัตรา'!$J$2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'อัตรา'!$J$3:$J$8</c:f>
              <c:numCache/>
            </c:numRef>
          </c:val>
        </c:ser>
        <c:ser>
          <c:idx val="6"/>
          <c:order val="6"/>
          <c:tx>
            <c:strRef>
              <c:f>'อัตรา'!$K$2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'อัตรา'!$K$3:$K$8</c:f>
              <c:numCache/>
            </c:numRef>
          </c:val>
        </c:ser>
        <c:ser>
          <c:idx val="7"/>
          <c:order val="7"/>
          <c:tx>
            <c:strRef>
              <c:f>'อัตรา'!$L$2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'อัตรา'!$L$3:$L$8</c:f>
              <c:numCache/>
            </c:numRef>
          </c:val>
        </c:ser>
        <c:ser>
          <c:idx val="8"/>
          <c:order val="8"/>
          <c:tx>
            <c:strRef>
              <c:f>'อัตรา'!$M$2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'อัตรา'!$M$3:$M$8</c:f>
              <c:numCache/>
            </c:numRef>
          </c:val>
        </c:ser>
        <c:ser>
          <c:idx val="9"/>
          <c:order val="9"/>
          <c:tx>
            <c:strRef>
              <c:f>'อัตรา'!$N$2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'อัตรา'!$N$3:$N$8</c:f>
              <c:numCache/>
            </c:numRef>
          </c:val>
        </c:ser>
        <c:ser>
          <c:idx val="10"/>
          <c:order val="10"/>
          <c:tx>
            <c:strRef>
              <c:f>'อัตรา'!$O$2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'อัตรา'!$B$3:$B$8</c:f>
            </c:strRef>
          </c:cat>
          <c:val>
            <c:numRef>
              <c:f>'อัตรา'!$O$3:$O$8</c:f>
              <c:numCache/>
            </c:numRef>
          </c:val>
        </c:ser>
        <c:ser>
          <c:idx val="11"/>
          <c:order val="11"/>
          <c:tx>
            <c:strRef>
              <c:f>'อัตรา'!$P$2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</c:dPt>
          <c:cat>
            <c:strRef>
              <c:f>'อัตรา'!$B$3:$B$8</c:f>
            </c:strRef>
          </c:cat>
          <c:val>
            <c:numRef>
              <c:f>'อัตรา'!$P$3:$P$8</c:f>
              <c:numCache/>
            </c:numRef>
          </c:val>
        </c:ser>
        <c:ser>
          <c:idx val="12"/>
          <c:order val="12"/>
          <c:tx>
            <c:strRef>
              <c:f>'อัตรา'!$Q$2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5"/>
          </c:dPt>
          <c:cat>
            <c:strRef>
              <c:f>'อัตรา'!$B$3:$B$8</c:f>
            </c:strRef>
          </c:cat>
          <c:val>
            <c:numRef>
              <c:f>'อัตรา'!$Q$3:$Q$8</c:f>
              <c:numCache/>
            </c:numRef>
          </c:val>
        </c:ser>
        <c:ser>
          <c:idx val="13"/>
          <c:order val="13"/>
          <c:tx>
            <c:strRef>
              <c:f>'อัตรา'!$R$2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1"/>
          </c:dPt>
          <c:cat>
            <c:strRef>
              <c:f>'อัตรา'!$B$3:$B$8</c:f>
            </c:strRef>
          </c:cat>
          <c:val>
            <c:numRef>
              <c:f>'อัตรา'!$R$3:$R$8</c:f>
              <c:numCache/>
            </c:numRef>
          </c:val>
        </c:ser>
        <c:ser>
          <c:idx val="14"/>
          <c:order val="14"/>
          <c:tx>
            <c:strRef>
              <c:f>'อัตรา'!$S$2</c:f>
            </c:strRef>
          </c:tx>
          <c:cat>
            <c:strRef>
              <c:f>'อัตรา'!$B$3:$B$8</c:f>
            </c:strRef>
          </c:cat>
          <c:val>
            <c:numRef>
              <c:f>'อัตรา'!$S$3:$S$8</c:f>
              <c:numCache/>
            </c:numRef>
          </c:val>
        </c:ser>
        <c:ser>
          <c:idx val="15"/>
          <c:order val="15"/>
          <c:tx>
            <c:strRef>
              <c:f>'อัตรา'!$T$2</c:f>
            </c:strRef>
          </c:tx>
          <c:cat>
            <c:strRef>
              <c:f>'อัตรา'!$B$3:$B$8</c:f>
            </c:strRef>
          </c:cat>
          <c:val>
            <c:numRef>
              <c:f>'อัตรา'!$T$3:$T$8</c:f>
              <c:numCache/>
            </c:numRef>
          </c:val>
        </c:ser>
        <c:ser>
          <c:idx val="16"/>
          <c:order val="16"/>
          <c:tx>
            <c:strRef>
              <c:f>'อัตรา'!$U$2</c:f>
            </c:strRef>
          </c:tx>
          <c:cat>
            <c:strRef>
              <c:f>'อัตรา'!$B$3:$B$8</c:f>
            </c:strRef>
          </c:cat>
          <c:val>
            <c:numRef>
              <c:f>'อัตรา'!$U$3:$U$8</c:f>
              <c:numCache/>
            </c:numRef>
          </c:val>
        </c:ser>
        <c:ser>
          <c:idx val="17"/>
          <c:order val="17"/>
          <c:tx>
            <c:strRef>
              <c:f>'อัตรา'!$V$2</c:f>
            </c:strRef>
          </c:tx>
          <c:cat>
            <c:strRef>
              <c:f>'อัตรา'!$B$3:$B$8</c:f>
            </c:strRef>
          </c:cat>
          <c:val>
            <c:numRef>
              <c:f>'อัตรา'!$V$3:$V$8</c:f>
              <c:numCache/>
            </c:numRef>
          </c:val>
        </c:ser>
        <c:ser>
          <c:idx val="18"/>
          <c:order val="18"/>
          <c:tx>
            <c:strRef>
              <c:f>'อัตรา'!$W$2</c:f>
            </c:strRef>
          </c:tx>
          <c:cat>
            <c:strRef>
              <c:f>'อัตรา'!$B$3:$B$8</c:f>
            </c:strRef>
          </c:cat>
          <c:val>
            <c:numRef>
              <c:f>'อัตรา'!$W$3:$W$8</c:f>
              <c:numCache/>
            </c:numRef>
          </c:val>
        </c:ser>
        <c:ser>
          <c:idx val="19"/>
          <c:order val="19"/>
          <c:tx>
            <c:strRef>
              <c:f>'อัตรา'!$X$2</c:f>
            </c:strRef>
          </c:tx>
          <c:cat>
            <c:strRef>
              <c:f>'อัตรา'!$B$3:$B$8</c:f>
            </c:strRef>
          </c:cat>
          <c:val>
            <c:numRef>
              <c:f>'อัตรา'!$X$3:$X$8</c:f>
              <c:numCache/>
            </c:numRef>
          </c:val>
        </c:ser>
        <c:ser>
          <c:idx val="20"/>
          <c:order val="20"/>
          <c:tx>
            <c:strRef>
              <c:f>'อัตรา'!$Y$2</c:f>
            </c:strRef>
          </c:tx>
          <c:cat>
            <c:strRef>
              <c:f>'อัตรา'!$B$3:$B$8</c:f>
            </c:strRef>
          </c:cat>
          <c:val>
            <c:numRef>
              <c:f>'อัตรา'!$Y$3:$Y$8</c:f>
              <c:numCache/>
            </c:numRef>
          </c:val>
        </c:ser>
        <c:ser>
          <c:idx val="21"/>
          <c:order val="21"/>
          <c:tx>
            <c:strRef>
              <c:f>'อัตรา'!$Z$2</c:f>
            </c:strRef>
          </c:tx>
          <c:cat>
            <c:strRef>
              <c:f>'อัตรา'!$B$3:$B$8</c:f>
            </c:strRef>
          </c:cat>
          <c:val>
            <c:numRef>
              <c:f>'อัตรา'!$Z$3:$Z$8</c:f>
              <c:numCache/>
            </c:numRef>
          </c:val>
        </c:ser>
        <c:axId val="1064243848"/>
        <c:axId val="1567004697"/>
      </c:barChart>
      <c:catAx>
        <c:axId val="10642438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567004697"/>
      </c:catAx>
      <c:valAx>
        <c:axId val="15670046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064243848"/>
      </c:valAx>
    </c:plotArea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'อัตรา'!$B$9:$B$14</c:f>
            </c:strRef>
          </c:cat>
          <c:val>
            <c:numRef>
              <c:f>'อัตรา'!$E$9:$E$14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'อัตรา'!$B$9:$B$14</c:f>
            </c:strRef>
          </c:cat>
          <c:val>
            <c:numRef>
              <c:f>'อัตรา'!$F$9:$F$14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'อัตรา'!$G$9:$G$14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'อัตรา'!$H$9:$H$14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'อัตรา'!$I$9:$I$14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'อัตรา'!$J$9:$J$14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'อัตรา'!$K$9:$K$14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'อัตรา'!$L$9:$L$14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'อัตรา'!$M$9:$M$14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'อัตรา'!$N$9:$N$14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'อัตรา'!$O$9:$O$14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'อัตรา'!$P$9:$P$14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'อัตรา'!$B$9:$B$14</c:f>
            </c:strRef>
          </c:cat>
          <c:val>
            <c:numRef>
              <c:f>'อัตรา'!$Q$9:$Q$14</c:f>
              <c:numCache/>
            </c:numRef>
          </c:val>
        </c:ser>
        <c:axId val="931071295"/>
        <c:axId val="1801711657"/>
      </c:barChart>
      <c:catAx>
        <c:axId val="93107129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801711657"/>
      </c:catAx>
      <c:valAx>
        <c:axId val="180171165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931071295"/>
      </c:valAx>
    </c:plotArea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'อัตรา'!$E$15:$E$20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'อัตรา'!$F$15:$F$20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'อัตรา'!$G$15:$G$20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'อัตรา'!$H$15:$H$20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'อัตรา'!$I$15:$I$20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'อัตรา'!$J$15:$J$20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'อัตรา'!$K$15:$K$20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'อัตรา'!$L$15:$L$20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'อัตรา'!$M$15:$M$20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'อัตรา'!$N$15:$N$20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'อัตรา'!$O$15:$O$20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'อัตรา'!$B$15:$B$20</c:f>
            </c:strRef>
          </c:cat>
          <c:val>
            <c:numRef>
              <c:f>'อัตรา'!$P$15:$P$20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00FF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</c:dPt>
          <c:cat>
            <c:strRef>
              <c:f>'อัตรา'!$B$15:$B$20</c:f>
            </c:strRef>
          </c:cat>
          <c:val>
            <c:numRef>
              <c:f>'อัตรา'!$Q$15:$Q$20</c:f>
              <c:numCache/>
            </c:numRef>
          </c:val>
        </c:ser>
        <c:ser>
          <c:idx val="13"/>
          <c:order val="1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5"/>
          </c:dPt>
          <c:cat>
            <c:strRef>
              <c:f>'อัตรา'!$B$15:$B$20</c:f>
            </c:strRef>
          </c:cat>
          <c:val>
            <c:numRef>
              <c:f>'อัตรา'!$R$15:$R$20</c:f>
              <c:numCache/>
            </c:numRef>
          </c:val>
        </c:ser>
        <c:ser>
          <c:idx val="14"/>
          <c:order val="14"/>
          <c:cat>
            <c:strRef>
              <c:f>'อัตรา'!$B$15:$B$20</c:f>
            </c:strRef>
          </c:cat>
          <c:val>
            <c:numRef>
              <c:f>'อัตรา'!$S$15:$S$20</c:f>
              <c:numCache/>
            </c:numRef>
          </c:val>
        </c:ser>
        <c:ser>
          <c:idx val="15"/>
          <c:order val="15"/>
          <c:cat>
            <c:strRef>
              <c:f>'อัตรา'!$B$15:$B$20</c:f>
            </c:strRef>
          </c:cat>
          <c:val>
            <c:numRef>
              <c:f>'อัตรา'!$T$15:$T$20</c:f>
              <c:numCache/>
            </c:numRef>
          </c:val>
        </c:ser>
        <c:ser>
          <c:idx val="16"/>
          <c:order val="16"/>
          <c:cat>
            <c:strRef>
              <c:f>'อัตรา'!$B$15:$B$20</c:f>
            </c:strRef>
          </c:cat>
          <c:val>
            <c:numRef>
              <c:f>'อัตรา'!$U$15:$U$20</c:f>
              <c:numCache/>
            </c:numRef>
          </c:val>
        </c:ser>
        <c:ser>
          <c:idx val="17"/>
          <c:order val="17"/>
          <c:cat>
            <c:strRef>
              <c:f>'อัตรา'!$B$15:$B$20</c:f>
            </c:strRef>
          </c:cat>
          <c:val>
            <c:numRef>
              <c:f>'อัตรา'!$V$15:$V$20</c:f>
              <c:numCache/>
            </c:numRef>
          </c:val>
        </c:ser>
        <c:ser>
          <c:idx val="18"/>
          <c:order val="18"/>
          <c:cat>
            <c:strRef>
              <c:f>'อัตรา'!$B$15:$B$20</c:f>
            </c:strRef>
          </c:cat>
          <c:val>
            <c:numRef>
              <c:f>'อัตรา'!$W$15:$W$20</c:f>
              <c:numCache/>
            </c:numRef>
          </c:val>
        </c:ser>
        <c:ser>
          <c:idx val="19"/>
          <c:order val="19"/>
          <c:cat>
            <c:strRef>
              <c:f>'อัตรา'!$B$15:$B$20</c:f>
            </c:strRef>
          </c:cat>
          <c:val>
            <c:numRef>
              <c:f>'อัตรา'!$X$15:$X$20</c:f>
              <c:numCache/>
            </c:numRef>
          </c:val>
        </c:ser>
        <c:ser>
          <c:idx val="20"/>
          <c:order val="20"/>
          <c:cat>
            <c:strRef>
              <c:f>'อัตรา'!$B$15:$B$20</c:f>
            </c:strRef>
          </c:cat>
          <c:val>
            <c:numRef>
              <c:f>'อัตรา'!$Y$15:$Y$20</c:f>
              <c:numCache/>
            </c:numRef>
          </c:val>
        </c:ser>
        <c:ser>
          <c:idx val="21"/>
          <c:order val="21"/>
          <c:cat>
            <c:strRef>
              <c:f>'อัตรา'!$B$15:$B$20</c:f>
            </c:strRef>
          </c:cat>
          <c:val>
            <c:numRef>
              <c:f>'อัตรา'!$Z$15:$Z$20</c:f>
              <c:numCache/>
            </c:numRef>
          </c:val>
        </c:ser>
        <c:axId val="1710999104"/>
        <c:axId val="687449176"/>
      </c:barChart>
      <c:catAx>
        <c:axId val="171099910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687449176"/>
      </c:catAx>
      <c:valAx>
        <c:axId val="6874491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710999104"/>
      </c:valAx>
    </c:plotArea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('อัตรา'!$B$21:$B$25,'อัตรา'!$E$21:$E$25,'อัตรา'!$F$21:$F$25,'อัตรา'!$G$21:$G$25,'อัตรา'!$H$21:$H$25,'อัตรา'!$I$21:$I$25,'อัตรา'!$J$21:$J$25,'อัตรา'!$K$21:$K$25,'อัตรา'!$L$21:$L$25,'อัตรา'!$M$21:$M$25,'อัตรา'!$N$21:$N$25,'อัตรา'!$O$21:$O$25,'อัตรา'!$P$21:$P$25,'อัตรา'!$Q$21:$Q$25)</c:f>
            </c:strRef>
          </c:cat>
          <c:val>
            <c:numRef>
              <c:f>('อัตรา'!$B$21:$B$25,'อัตรา'!$E$21:$E$25,'อัตรา'!$F$21:$F$25,'อัตรา'!$G$21:$G$25,'อัตรา'!$H$21:$H$25,'อัตรา'!$I$21:$I$25,'อัตรา'!$J$21:$J$25,'อัตรา'!$K$21:$K$25,'อัตรา'!$L$21:$L$25,'อัตรา'!$M$21:$M$25,'อัตรา'!$N$21:$N$25,'อัตรา'!$O$21:$O$25,'อัตรา'!$P$21:$P$25,'อัตรา'!$Q$21:$Q$25)</c:f>
              <c:numCache/>
            </c:numRef>
          </c:val>
        </c:ser>
        <c:axId val="852266960"/>
        <c:axId val="1765351246"/>
      </c:barChart>
      <c:catAx>
        <c:axId val="8522669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765351246"/>
      </c:catAx>
      <c:valAx>
        <c:axId val="176535124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852266960"/>
      </c:valAx>
    </c:plotArea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tx>
            <c:strRef>
              <c:f>'ปริมาณ'!$E$2</c:f>
            </c:strRef>
          </c:tx>
          <c:spPr>
            <a:solidFill>
              <a:schemeClr val="accent4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</c:dPt>
          <c:cat>
            <c:strRef>
              <c:f>'ปริมาณ'!$B$3:$B$8</c:f>
            </c:strRef>
          </c:cat>
          <c:val>
            <c:numRef>
              <c:f>'ปริมาณ'!$E$3:$E$8</c:f>
              <c:numCache/>
            </c:numRef>
          </c:val>
        </c:ser>
        <c:ser>
          <c:idx val="1"/>
          <c:order val="1"/>
          <c:tx>
            <c:strRef>
              <c:f>'ปริมาณ'!$F$2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cat>
            <c:strRef>
              <c:f>'ปริมาณ'!$B$3:$B$8</c:f>
            </c:strRef>
          </c:cat>
          <c:val>
            <c:numRef>
              <c:f>'ปริมาณ'!$F$3:$F$8</c:f>
              <c:numCache/>
            </c:numRef>
          </c:val>
        </c:ser>
        <c:ser>
          <c:idx val="2"/>
          <c:order val="2"/>
          <c:tx>
            <c:strRef>
              <c:f>'ปริมาณ'!$G$2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'ปริมาณ'!$G$3:$G$8</c:f>
              <c:numCache/>
            </c:numRef>
          </c:val>
        </c:ser>
        <c:ser>
          <c:idx val="3"/>
          <c:order val="3"/>
          <c:tx>
            <c:strRef>
              <c:f>'ปริมาณ'!$H$2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'ปริมาณ'!$H$3:$H$8</c:f>
              <c:numCache/>
            </c:numRef>
          </c:val>
        </c:ser>
        <c:ser>
          <c:idx val="4"/>
          <c:order val="4"/>
          <c:tx>
            <c:strRef>
              <c:f>'ปริมาณ'!$I$2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'ปริมาณ'!$I$3:$I$8</c:f>
              <c:numCache/>
            </c:numRef>
          </c:val>
        </c:ser>
        <c:ser>
          <c:idx val="5"/>
          <c:order val="5"/>
          <c:tx>
            <c:strRef>
              <c:f>'ปริมาณ'!$J$2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'ปริมาณ'!$J$3:$J$8</c:f>
              <c:numCache/>
            </c:numRef>
          </c:val>
        </c:ser>
        <c:ser>
          <c:idx val="6"/>
          <c:order val="6"/>
          <c:tx>
            <c:strRef>
              <c:f>'ปริมาณ'!$K$2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'ปริมาณ'!$K$3:$K$8</c:f>
              <c:numCache/>
            </c:numRef>
          </c:val>
        </c:ser>
        <c:ser>
          <c:idx val="7"/>
          <c:order val="7"/>
          <c:tx>
            <c:strRef>
              <c:f>'ปริมาณ'!$L$2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'ปริมาณ'!$L$3:$L$8</c:f>
              <c:numCache/>
            </c:numRef>
          </c:val>
        </c:ser>
        <c:ser>
          <c:idx val="8"/>
          <c:order val="8"/>
          <c:tx>
            <c:strRef>
              <c:f>'ปริมาณ'!$M$2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'ปริมาณ'!$M$3:$M$8</c:f>
              <c:numCache/>
            </c:numRef>
          </c:val>
        </c:ser>
        <c:ser>
          <c:idx val="9"/>
          <c:order val="9"/>
          <c:tx>
            <c:strRef>
              <c:f>'ปริมาณ'!$N$2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'ปริมาณ'!$N$3:$N$8</c:f>
              <c:numCache/>
            </c:numRef>
          </c:val>
        </c:ser>
        <c:ser>
          <c:idx val="10"/>
          <c:order val="10"/>
          <c:tx>
            <c:strRef>
              <c:f>'ปริมาณ'!$O$2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cat>
            <c:strRef>
              <c:f>'ปริมาณ'!$B$3:$B$8</c:f>
            </c:strRef>
          </c:cat>
          <c:val>
            <c:numRef>
              <c:f>'ปริมาณ'!$O$3:$O$8</c:f>
              <c:numCache/>
            </c:numRef>
          </c:val>
        </c:ser>
        <c:ser>
          <c:idx val="11"/>
          <c:order val="11"/>
          <c:tx>
            <c:strRef>
              <c:f>'ปริมาณ'!$P$2</c:f>
            </c:strRef>
          </c:tx>
          <c:spPr>
            <a:solidFill>
              <a:schemeClr val="accent1"/>
            </a:solidFill>
            <a:ln cmpd="sng">
              <a:solidFill>
                <a:srgbClr val="000000"/>
              </a:solidFill>
              <a:prstDash val="solid"/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</c:dPt>
          <c:cat>
            <c:strRef>
              <c:f>'ปริมาณ'!$B$3:$B$8</c:f>
            </c:strRef>
          </c:cat>
          <c:val>
            <c:numRef>
              <c:f>'ปริมาณ'!$P$3:$P$8</c:f>
              <c:numCache/>
            </c:numRef>
          </c:val>
        </c:ser>
        <c:ser>
          <c:idx val="12"/>
          <c:order val="12"/>
          <c:tx>
            <c:strRef>
              <c:f>'ปริมาณ'!$Q$2</c:f>
            </c:strRef>
          </c:tx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</c:dPt>
          <c:dPt>
            <c:idx val="5"/>
          </c:dPt>
          <c:cat>
            <c:strRef>
              <c:f>'ปริมาณ'!$B$3:$B$8</c:f>
            </c:strRef>
          </c:cat>
          <c:val>
            <c:numRef>
              <c:f>'ปริมาณ'!$Q$3:$Q$8</c:f>
              <c:numCache/>
            </c:numRef>
          </c:val>
        </c:ser>
        <c:ser>
          <c:idx val="13"/>
          <c:order val="13"/>
          <c:tx>
            <c:strRef>
              <c:f>'ปริมาณ'!$R$2</c:f>
            </c:strRef>
          </c:tx>
          <c:cat>
            <c:strRef>
              <c:f>'ปริมาณ'!$B$3:$B$8</c:f>
            </c:strRef>
          </c:cat>
          <c:val>
            <c:numRef>
              <c:f>'ปริมาณ'!$R$3:$R$8</c:f>
              <c:numCache/>
            </c:numRef>
          </c:val>
        </c:ser>
        <c:ser>
          <c:idx val="14"/>
          <c:order val="14"/>
          <c:tx>
            <c:strRef>
              <c:f>'ปริมาณ'!$S$2</c:f>
            </c:strRef>
          </c:tx>
          <c:cat>
            <c:strRef>
              <c:f>'ปริมาณ'!$B$3:$B$8</c:f>
            </c:strRef>
          </c:cat>
          <c:val>
            <c:numRef>
              <c:f>'ปริมาณ'!$S$3:$S$8</c:f>
              <c:numCache/>
            </c:numRef>
          </c:val>
        </c:ser>
        <c:ser>
          <c:idx val="15"/>
          <c:order val="15"/>
          <c:tx>
            <c:strRef>
              <c:f>'ปริมาณ'!$T$2</c:f>
            </c:strRef>
          </c:tx>
          <c:cat>
            <c:strRef>
              <c:f>'ปริมาณ'!$B$3:$B$8</c:f>
            </c:strRef>
          </c:cat>
          <c:val>
            <c:numRef>
              <c:f>'ปริมาณ'!$T$3:$T$8</c:f>
              <c:numCache/>
            </c:numRef>
          </c:val>
        </c:ser>
        <c:ser>
          <c:idx val="16"/>
          <c:order val="16"/>
          <c:tx>
            <c:strRef>
              <c:f>'ปริมาณ'!$U$2</c:f>
            </c:strRef>
          </c:tx>
          <c:cat>
            <c:strRef>
              <c:f>'ปริมาณ'!$B$3:$B$8</c:f>
            </c:strRef>
          </c:cat>
          <c:val>
            <c:numRef>
              <c:f>'ปริมาณ'!$U$3:$U$8</c:f>
              <c:numCache/>
            </c:numRef>
          </c:val>
        </c:ser>
        <c:ser>
          <c:idx val="17"/>
          <c:order val="17"/>
          <c:tx>
            <c:strRef>
              <c:f>'ปริมาณ'!$V$2</c:f>
            </c:strRef>
          </c:tx>
          <c:cat>
            <c:strRef>
              <c:f>'ปริมาณ'!$B$3:$B$8</c:f>
            </c:strRef>
          </c:cat>
          <c:val>
            <c:numRef>
              <c:f>'ปริมาณ'!$V$3:$V$8</c:f>
              <c:numCache/>
            </c:numRef>
          </c:val>
        </c:ser>
        <c:ser>
          <c:idx val="18"/>
          <c:order val="18"/>
          <c:tx>
            <c:strRef>
              <c:f>'ปริมาณ'!$W$2</c:f>
            </c:strRef>
          </c:tx>
          <c:cat>
            <c:strRef>
              <c:f>'ปริมาณ'!$B$3:$B$8</c:f>
            </c:strRef>
          </c:cat>
          <c:val>
            <c:numRef>
              <c:f>'ปริมาณ'!$W$3:$W$8</c:f>
              <c:numCache/>
            </c:numRef>
          </c:val>
        </c:ser>
        <c:ser>
          <c:idx val="19"/>
          <c:order val="19"/>
          <c:tx>
            <c:strRef>
              <c:f>'ปริมาณ'!$X$2</c:f>
            </c:strRef>
          </c:tx>
          <c:cat>
            <c:strRef>
              <c:f>'ปริมาณ'!$B$3:$B$8</c:f>
            </c:strRef>
          </c:cat>
          <c:val>
            <c:numRef>
              <c:f>'ปริมาณ'!$X$3:$X$8</c:f>
              <c:numCache/>
            </c:numRef>
          </c:val>
        </c:ser>
        <c:ser>
          <c:idx val="20"/>
          <c:order val="20"/>
          <c:tx>
            <c:strRef>
              <c:f>'ปริมาณ'!$Y$2</c:f>
            </c:strRef>
          </c:tx>
          <c:cat>
            <c:strRef>
              <c:f>'ปริมาณ'!$B$3:$B$8</c:f>
            </c:strRef>
          </c:cat>
          <c:val>
            <c:numRef>
              <c:f>'ปริมาณ'!$Y$3:$Y$8</c:f>
              <c:numCache/>
            </c:numRef>
          </c:val>
        </c:ser>
        <c:ser>
          <c:idx val="21"/>
          <c:order val="21"/>
          <c:tx>
            <c:strRef>
              <c:f>'ปริมาณ'!$Z$2</c:f>
            </c:strRef>
          </c:tx>
          <c:cat>
            <c:strRef>
              <c:f>'ปริมาณ'!$B$3:$B$8</c:f>
            </c:strRef>
          </c:cat>
          <c:val>
            <c:numRef>
              <c:f>'ปริมาณ'!$Z$3:$Z$8</c:f>
              <c:numCache/>
            </c:numRef>
          </c:val>
        </c:ser>
        <c:axId val="999060588"/>
        <c:axId val="263103281"/>
      </c:barChart>
      <c:catAx>
        <c:axId val="9990605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263103281"/>
      </c:catAx>
      <c:valAx>
        <c:axId val="26310328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999060588"/>
      </c:valAx>
    </c:plotArea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'ปริมาณ'!$B$9:$B$14</c:f>
            </c:strRef>
          </c:cat>
          <c:val>
            <c:numRef>
              <c:f>'ปริมาณ'!$E$9:$E$14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dPt>
            <c:idx val="0"/>
          </c:dPt>
          <c:cat>
            <c:strRef>
              <c:f>'ปริมาณ'!$B$9:$B$14</c:f>
            </c:strRef>
          </c:cat>
          <c:val>
            <c:numRef>
              <c:f>'ปริมาณ'!$F$9:$F$14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'ปริมาณ'!$G$9:$G$14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'ปริมาณ'!$H$9:$H$14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'ปริมาณ'!$I$9:$I$14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'ปริมาณ'!$J$9:$J$14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'ปริมาณ'!$K$9:$K$14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'ปริมาณ'!$L$9:$L$14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'ปริมาณ'!$M$9:$M$14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'ปริมาณ'!$N$9:$N$14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'ปริมาณ'!$O$9:$O$14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'ปริมาณ'!$P$9:$P$14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'ปริมาณ'!$B$9:$B$14</c:f>
            </c:strRef>
          </c:cat>
          <c:val>
            <c:numRef>
              <c:f>'ปริมาณ'!$Q$9:$Q$14</c:f>
              <c:numCache/>
            </c:numRef>
          </c:val>
        </c:ser>
        <c:axId val="652026783"/>
        <c:axId val="1250156476"/>
      </c:barChart>
      <c:catAx>
        <c:axId val="6520267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250156476"/>
      </c:catAx>
      <c:valAx>
        <c:axId val="12501564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652026783"/>
      </c:valAx>
    </c:plotArea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'ปริมาณ'!$E$15:$E$19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'ปริมาณ'!$F$15:$F$19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'ปริมาณ'!$G$15:$G$19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'ปริมาณ'!$H$15:$H$19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'ปริมาณ'!$I$15:$I$19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'ปริมาณ'!$J$15:$J$19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'ปริมาณ'!$K$15:$K$19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'ปริมาณ'!$L$15:$L$19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'ปริมาณ'!$M$15:$M$19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'ปริมาณ'!$N$15:$N$19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'ปริมาณ'!$O$15:$O$19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'ปริมาณ'!$B$15:$B$19</c:f>
            </c:strRef>
          </c:cat>
          <c:val>
            <c:numRef>
              <c:f>'ปริมาณ'!$P$15:$P$19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rgbClr val="0000FF"/>
              </a:solidFill>
              <a:ln cmpd="sng">
                <a:solidFill>
                  <a:srgbClr val="000000"/>
                </a:solidFill>
              </a:ln>
            </c:spPr>
          </c:dPt>
          <c:dPt>
            <c:idx val="5"/>
          </c:dPt>
          <c:cat>
            <c:strRef>
              <c:f>'ปริมาณ'!$B$15:$B$19</c:f>
            </c:strRef>
          </c:cat>
          <c:val>
            <c:numRef>
              <c:f>'ปริมาณ'!$Q$15:$Q$19</c:f>
              <c:numCache/>
            </c:numRef>
          </c:val>
        </c:ser>
        <c:ser>
          <c:idx val="13"/>
          <c:order val="13"/>
          <c:cat>
            <c:strRef>
              <c:f>'ปริมาณ'!$B$15:$B$19</c:f>
            </c:strRef>
          </c:cat>
          <c:val>
            <c:numRef>
              <c:f>'ปริมาณ'!$R$15:$R$19</c:f>
              <c:numCache/>
            </c:numRef>
          </c:val>
        </c:ser>
        <c:ser>
          <c:idx val="14"/>
          <c:order val="14"/>
          <c:cat>
            <c:strRef>
              <c:f>'ปริมาณ'!$B$15:$B$19</c:f>
            </c:strRef>
          </c:cat>
          <c:val>
            <c:numRef>
              <c:f>'ปริมาณ'!$S$15:$S$19</c:f>
              <c:numCache/>
            </c:numRef>
          </c:val>
        </c:ser>
        <c:ser>
          <c:idx val="15"/>
          <c:order val="15"/>
          <c:cat>
            <c:strRef>
              <c:f>'ปริมาณ'!$B$15:$B$19</c:f>
            </c:strRef>
          </c:cat>
          <c:val>
            <c:numRef>
              <c:f>'ปริมาณ'!$T$15:$T$19</c:f>
              <c:numCache/>
            </c:numRef>
          </c:val>
        </c:ser>
        <c:ser>
          <c:idx val="16"/>
          <c:order val="16"/>
          <c:cat>
            <c:strRef>
              <c:f>'ปริมาณ'!$B$15:$B$19</c:f>
            </c:strRef>
          </c:cat>
          <c:val>
            <c:numRef>
              <c:f>'ปริมาณ'!$U$15:$U$19</c:f>
              <c:numCache/>
            </c:numRef>
          </c:val>
        </c:ser>
        <c:ser>
          <c:idx val="17"/>
          <c:order val="17"/>
          <c:cat>
            <c:strRef>
              <c:f>'ปริมาณ'!$B$15:$B$19</c:f>
            </c:strRef>
          </c:cat>
          <c:val>
            <c:numRef>
              <c:f>'ปริมาณ'!$V$15:$V$19</c:f>
              <c:numCache/>
            </c:numRef>
          </c:val>
        </c:ser>
        <c:ser>
          <c:idx val="18"/>
          <c:order val="18"/>
          <c:cat>
            <c:strRef>
              <c:f>'ปริมาณ'!$B$15:$B$19</c:f>
            </c:strRef>
          </c:cat>
          <c:val>
            <c:numRef>
              <c:f>'ปริมาณ'!$W$15:$W$19</c:f>
              <c:numCache/>
            </c:numRef>
          </c:val>
        </c:ser>
        <c:ser>
          <c:idx val="19"/>
          <c:order val="19"/>
          <c:cat>
            <c:strRef>
              <c:f>'ปริมาณ'!$B$15:$B$19</c:f>
            </c:strRef>
          </c:cat>
          <c:val>
            <c:numRef>
              <c:f>'ปริมาณ'!$X$15:$X$19</c:f>
              <c:numCache/>
            </c:numRef>
          </c:val>
        </c:ser>
        <c:ser>
          <c:idx val="20"/>
          <c:order val="20"/>
          <c:cat>
            <c:strRef>
              <c:f>'ปริมาณ'!$B$15:$B$19</c:f>
            </c:strRef>
          </c:cat>
          <c:val>
            <c:numRef>
              <c:f>'ปริมาณ'!$Y$15:$Y$19</c:f>
              <c:numCache/>
            </c:numRef>
          </c:val>
        </c:ser>
        <c:ser>
          <c:idx val="21"/>
          <c:order val="21"/>
          <c:cat>
            <c:strRef>
              <c:f>'ปริมาณ'!$B$15:$B$19</c:f>
            </c:strRef>
          </c:cat>
          <c:val>
            <c:numRef>
              <c:f>'ปริมาณ'!$Z$15:$Z$19</c:f>
              <c:numCache/>
            </c:numRef>
          </c:val>
        </c:ser>
        <c:axId val="190819377"/>
        <c:axId val="383922187"/>
      </c:barChart>
      <c:catAx>
        <c:axId val="1908193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383922187"/>
      </c:catAx>
      <c:valAx>
        <c:axId val="38392218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90819377"/>
      </c:valAx>
    </c:plotArea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4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'ปริมาณ'!$E$20:$E$24</c:f>
              <c:numCache/>
            </c:numRef>
          </c:val>
        </c:ser>
        <c:ser>
          <c:idx val="1"/>
          <c:order val="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'ปริมาณ'!$F$20:$F$24</c:f>
              <c:numCache/>
            </c:numRef>
          </c:val>
        </c:ser>
        <c:ser>
          <c:idx val="2"/>
          <c:order val="2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'ปริมาณ'!$G$20:$G$24</c:f>
              <c:numCache/>
            </c:numRef>
          </c:val>
        </c:ser>
        <c:ser>
          <c:idx val="3"/>
          <c:order val="3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'ปริมาณ'!$H$20:$H$24</c:f>
              <c:numCache/>
            </c:numRef>
          </c:val>
        </c:ser>
        <c:ser>
          <c:idx val="4"/>
          <c:order val="4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'ปริมาณ'!$I$20:$I$24</c:f>
              <c:numCache/>
            </c:numRef>
          </c:val>
        </c:ser>
        <c:ser>
          <c:idx val="5"/>
          <c:order val="5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'ปริมาณ'!$J$20:$J$24</c:f>
              <c:numCache/>
            </c:numRef>
          </c:val>
        </c:ser>
        <c:ser>
          <c:idx val="6"/>
          <c:order val="6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'ปริมาณ'!$K$20:$K$24</c:f>
              <c:numCache/>
            </c:numRef>
          </c:val>
        </c:ser>
        <c:ser>
          <c:idx val="7"/>
          <c:order val="7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'ปริมาณ'!$L$20:$L$24</c:f>
              <c:numCache/>
            </c:numRef>
          </c:val>
        </c:ser>
        <c:ser>
          <c:idx val="8"/>
          <c:order val="8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'ปริมาณ'!$M$20:$M$24</c:f>
              <c:numCache/>
            </c:numRef>
          </c:val>
        </c:ser>
        <c:ser>
          <c:idx val="9"/>
          <c:order val="9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'ปริมาณ'!$N$20:$N$24</c:f>
              <c:numCache/>
            </c:numRef>
          </c:val>
        </c:ser>
        <c:ser>
          <c:idx val="10"/>
          <c:order val="1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'ปริมาณ'!$O$20:$O$24</c:f>
              <c:numCache/>
            </c:numRef>
          </c:val>
        </c:ser>
        <c:ser>
          <c:idx val="11"/>
          <c:order val="11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'ปริมาณ'!$P$20:$P$24</c:f>
              <c:numCache/>
            </c:numRef>
          </c:val>
        </c:ser>
        <c:ser>
          <c:idx val="12"/>
          <c:order val="12"/>
          <c:spPr>
            <a:solidFill>
              <a:srgbClr val="0000FF"/>
            </a:solidFill>
            <a:ln cmpd="sng">
              <a:solidFill>
                <a:srgbClr val="000000"/>
              </a:solidFill>
            </a:ln>
          </c:spPr>
          <c:cat>
            <c:strRef>
              <c:f>'ปริมาณ'!$B$20:$B$24</c:f>
            </c:strRef>
          </c:cat>
          <c:val>
            <c:numRef>
              <c:f>'ปริมาณ'!$Q$20:$Q$24</c:f>
              <c:numCache/>
            </c:numRef>
          </c:val>
        </c:ser>
        <c:axId val="1647775981"/>
        <c:axId val="1751775376"/>
      </c:barChart>
      <c:catAx>
        <c:axId val="164777598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 sz="1400">
                <a:solidFill>
                  <a:srgbClr val="1A1A1A"/>
                </a:solidFill>
                <a:latin typeface="+mn-lt"/>
              </a:defRPr>
            </a:pPr>
          </a:p>
        </c:txPr>
        <c:crossAx val="1751775376"/>
      </c:catAx>
      <c:valAx>
        <c:axId val="175177537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1">
                <a:solidFill>
                  <a:srgbClr val="1A1A1A"/>
                </a:solidFill>
                <a:latin typeface="+mn-lt"/>
              </a:defRPr>
            </a:pPr>
          </a:p>
        </c:txPr>
        <c:crossAx val="1647775981"/>
      </c:valAx>
    </c:plotArea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838383"/>
                </a:solidFill>
                <a:latin typeface="+mn-lt"/>
              </a:defRPr>
            </a:pPr>
            <a:r>
              <a:rPr b="0">
                <a:solidFill>
                  <a:srgbClr val="838383"/>
                </a:solidFill>
                <a:latin typeface="+mn-lt"/>
              </a:rPr>
              <a:t>ภาพรวม กปภ.ข.1 vs. เดือน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'ปริมาณ'!$A$70</c:f>
            </c:strRef>
          </c:tx>
          <c:spPr>
            <a:ln cmpd="sng">
              <a:solidFill>
                <a:schemeClr val="accent1"/>
              </a:solidFill>
              <a:prstDash val="solid"/>
            </a:ln>
          </c:spPr>
          <c:marker>
            <c:symbol val="none"/>
          </c:marker>
          <c:cat>
            <c:strRef>
              <c:f>'ปริมาณ'!$B$69:$P$69</c:f>
            </c:strRef>
          </c:cat>
          <c:val>
            <c:numRef>
              <c:f>'ปริมาณ'!$B$70:$P$70</c:f>
              <c:numCache/>
            </c:numRef>
          </c:val>
          <c:smooth val="0"/>
        </c:ser>
        <c:axId val="11164722"/>
        <c:axId val="1199193651"/>
      </c:lineChart>
      <c:catAx>
        <c:axId val="1116472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เดือน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199193651"/>
      </c:catAx>
      <c:valAx>
        <c:axId val="119919365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1A1A1A"/>
                    </a:solidFill>
                    <a:latin typeface="+mn-lt"/>
                  </a:defRPr>
                </a:pPr>
                <a:r>
                  <a:rPr b="0">
                    <a:solidFill>
                      <a:srgbClr val="1A1A1A"/>
                    </a:solidFill>
                    <a:latin typeface="+mn-lt"/>
                  </a:rPr>
                  <a:t>ภาพรวม กปภ.ข.1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1A1A1A"/>
                </a:solidFill>
                <a:latin typeface="+mn-lt"/>
              </a:defRPr>
            </a:pPr>
          </a:p>
        </c:txPr>
        <c:crossAx val="1116472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313131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<Relationship Id="rId3" Type="http://schemas.openxmlformats.org/officeDocument/2006/relationships/chart" Target="../charts/chart7.xml"/><Relationship Id="rId4" Type="http://schemas.openxmlformats.org/officeDocument/2006/relationships/chart" Target="../charts/chart8.xml"/><Relationship Id="rId5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1" name="Chart 1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2" name="Chart 2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3" name="Chart 3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4" name="Chart 4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28575</xdr:colOff>
      <xdr:row>26</xdr:row>
      <xdr:rowOff>76200</xdr:rowOff>
    </xdr:from>
    <xdr:ext cx="9715500" cy="3867150"/>
    <xdr:graphicFrame>
      <xdr:nvGraphicFramePr>
        <xdr:cNvPr id="5" name="Chart 5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19050</xdr:colOff>
      <xdr:row>25</xdr:row>
      <xdr:rowOff>190500</xdr:rowOff>
    </xdr:from>
    <xdr:ext cx="9563100" cy="3952875"/>
    <xdr:graphicFrame>
      <xdr:nvGraphicFramePr>
        <xdr:cNvPr id="6" name="Chart 6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</xdr:col>
      <xdr:colOff>28575</xdr:colOff>
      <xdr:row>47</xdr:row>
      <xdr:rowOff>28575</xdr:rowOff>
    </xdr:from>
    <xdr:ext cx="9677400" cy="3914775"/>
    <xdr:graphicFrame>
      <xdr:nvGraphicFramePr>
        <xdr:cNvPr id="7" name="Chart 7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12</xdr:col>
      <xdr:colOff>19050</xdr:colOff>
      <xdr:row>47</xdr:row>
      <xdr:rowOff>28575</xdr:rowOff>
    </xdr:from>
    <xdr:ext cx="9563100" cy="3952875"/>
    <xdr:graphicFrame>
      <xdr:nvGraphicFramePr>
        <xdr:cNvPr id="8" name="Chart 8" title="แผนภูมิ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7</xdr:col>
      <xdr:colOff>1000125</xdr:colOff>
      <xdr:row>74</xdr:row>
      <xdr:rowOff>123825</xdr:rowOff>
    </xdr:from>
    <xdr:ext cx="8058150" cy="3533775"/>
    <xdr:graphicFrame>
      <xdr:nvGraphicFramePr>
        <xdr:cNvPr id="9" name="Chart 9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1A1A1A"/>
      </a:dk1>
      <a:lt1>
        <a:srgbClr val="EEF1F1"/>
      </a:lt1>
      <a:dk2>
        <a:srgbClr val="1A1A1A"/>
      </a:dk2>
      <a:lt2>
        <a:srgbClr val="EEF1F1"/>
      </a:lt2>
      <a:accent1>
        <a:srgbClr val="1A9988"/>
      </a:accent1>
      <a:accent2>
        <a:srgbClr val="2D729D"/>
      </a:accent2>
      <a:accent3>
        <a:srgbClr val="1F3E78"/>
      </a:accent3>
      <a:accent4>
        <a:srgbClr val="EB5600"/>
      </a:accent4>
      <a:accent5>
        <a:srgbClr val="FF99AC"/>
      </a:accent5>
      <a:accent6>
        <a:srgbClr val="FFD4B8"/>
      </a:accent6>
      <a:hlink>
        <a:srgbClr val="1F3E78"/>
      </a:hlink>
      <a:folHlink>
        <a:srgbClr val="1F3E78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1.22" defaultRowHeight="15.75"/>
  <cols>
    <col customWidth="1" min="1" max="1" width="7.56"/>
    <col customWidth="1" min="2" max="2" width="12.78"/>
  </cols>
  <sheetData>
    <row r="1">
      <c r="A1" s="1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2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8"/>
      <c r="B2" s="9"/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1" t="s">
        <v>24</v>
      </c>
      <c r="Y2" s="11" t="s">
        <v>25</v>
      </c>
      <c r="Z2" s="11" t="s">
        <v>26</v>
      </c>
      <c r="AA2" s="7"/>
    </row>
    <row r="3">
      <c r="A3" s="12">
        <v>1.0</v>
      </c>
      <c r="B3" s="11" t="s">
        <v>27</v>
      </c>
      <c r="C3" s="11">
        <v>21.09</v>
      </c>
      <c r="D3" s="11">
        <v>20.51</v>
      </c>
      <c r="E3" s="11">
        <v>22.15</v>
      </c>
      <c r="F3" s="11">
        <v>22.51</v>
      </c>
      <c r="G3" s="11">
        <v>20.07</v>
      </c>
      <c r="H3" s="11">
        <v>19.23</v>
      </c>
      <c r="I3" s="11">
        <v>23.2</v>
      </c>
      <c r="J3" s="11">
        <v>23.36</v>
      </c>
      <c r="K3" s="11">
        <v>22.69</v>
      </c>
      <c r="L3" s="11">
        <v>21.92</v>
      </c>
      <c r="M3" s="11">
        <v>22.5</v>
      </c>
      <c r="N3" s="11">
        <v>20.87</v>
      </c>
      <c r="O3" s="13">
        <f>'ต.ค.68'!H4</f>
        <v>23.19408592</v>
      </c>
      <c r="P3" s="14">
        <f>VLOOKUP(A3,'พ.ย. 68'!$A$2:$N$26,10,1)</f>
        <v>20.79684065</v>
      </c>
      <c r="Q3" s="14">
        <f>VLOOKUP(A3,'ธ.ค. 68'!$A$2:$N$26,10,1)</f>
        <v>20.34041748</v>
      </c>
      <c r="R3" s="1">
        <v>25.47058237457004</v>
      </c>
      <c r="S3" s="15"/>
      <c r="T3" s="15"/>
      <c r="U3" s="15"/>
      <c r="V3" s="15"/>
      <c r="W3" s="15"/>
      <c r="X3" s="15"/>
      <c r="Y3" s="15"/>
      <c r="Z3" s="15"/>
      <c r="AA3" s="7"/>
    </row>
    <row r="4">
      <c r="A4" s="12">
        <v>2.0</v>
      </c>
      <c r="B4" s="11" t="s">
        <v>28</v>
      </c>
      <c r="C4" s="11">
        <v>22.05</v>
      </c>
      <c r="D4" s="11">
        <v>23.02</v>
      </c>
      <c r="E4" s="11">
        <v>15.89</v>
      </c>
      <c r="F4" s="11">
        <v>24.22</v>
      </c>
      <c r="G4" s="11">
        <v>30.77</v>
      </c>
      <c r="H4" s="11">
        <v>14.22</v>
      </c>
      <c r="I4" s="11">
        <v>23.66</v>
      </c>
      <c r="J4" s="11">
        <v>22.13</v>
      </c>
      <c r="K4" s="11">
        <v>27.7</v>
      </c>
      <c r="L4" s="11">
        <v>23.67</v>
      </c>
      <c r="M4" s="11">
        <v>18.18</v>
      </c>
      <c r="N4" s="11">
        <v>18.2</v>
      </c>
      <c r="O4" s="13">
        <f>'ต.ค.68'!H5</f>
        <v>23.49093992</v>
      </c>
      <c r="P4" s="14">
        <f>VLOOKUP(A4,'พ.ย. 68'!$A$2:$N$26,10,1)</f>
        <v>19.96836728</v>
      </c>
      <c r="Q4" s="14">
        <f>VLOOKUP(A4,'ธ.ค. 68'!$A$2:$N$26,10,1)</f>
        <v>22.34649278</v>
      </c>
      <c r="R4" s="8">
        <v>20.26758598854583</v>
      </c>
      <c r="S4" s="15"/>
      <c r="T4" s="15"/>
      <c r="U4" s="15"/>
      <c r="V4" s="15"/>
      <c r="W4" s="15"/>
      <c r="X4" s="15"/>
      <c r="Y4" s="15"/>
      <c r="Z4" s="15"/>
      <c r="AA4" s="7"/>
    </row>
    <row r="5">
      <c r="A5" s="12">
        <v>3.0</v>
      </c>
      <c r="B5" s="11" t="s">
        <v>29</v>
      </c>
      <c r="C5" s="11">
        <v>28.53</v>
      </c>
      <c r="D5" s="11">
        <v>22.39</v>
      </c>
      <c r="E5" s="11">
        <v>28.24</v>
      </c>
      <c r="F5" s="11">
        <v>25.64</v>
      </c>
      <c r="G5" s="11">
        <v>20.19</v>
      </c>
      <c r="H5" s="11">
        <v>24.32</v>
      </c>
      <c r="I5" s="11">
        <v>25.42</v>
      </c>
      <c r="J5" s="11">
        <v>26.11</v>
      </c>
      <c r="K5" s="11">
        <v>25.89</v>
      </c>
      <c r="L5" s="11">
        <v>23.44</v>
      </c>
      <c r="M5" s="11">
        <v>24.96</v>
      </c>
      <c r="N5" s="11">
        <v>26.83</v>
      </c>
      <c r="O5" s="13">
        <f>'ต.ค.68'!H6</f>
        <v>30.73766083</v>
      </c>
      <c r="P5" s="14">
        <f>VLOOKUP(A5,'พ.ย. 68'!$A$2:$N$26,10,1)</f>
        <v>31.88402896</v>
      </c>
      <c r="Q5" s="14">
        <f>VLOOKUP(A5,'ธ.ค. 68'!$A$2:$N$26,10,1)</f>
        <v>35.15110008</v>
      </c>
      <c r="R5" s="8">
        <v>28.591624389765375</v>
      </c>
      <c r="S5" s="15"/>
      <c r="T5" s="15"/>
      <c r="U5" s="15"/>
      <c r="V5" s="15"/>
      <c r="W5" s="15"/>
      <c r="X5" s="15"/>
      <c r="Y5" s="15"/>
      <c r="Z5" s="15"/>
      <c r="AA5" s="7"/>
    </row>
    <row r="6">
      <c r="A6" s="12">
        <v>4.0</v>
      </c>
      <c r="B6" s="11" t="s">
        <v>30</v>
      </c>
      <c r="C6" s="11">
        <v>21.93</v>
      </c>
      <c r="D6" s="11">
        <v>19.46</v>
      </c>
      <c r="E6" s="11">
        <v>24.27</v>
      </c>
      <c r="F6" s="11">
        <v>20.34</v>
      </c>
      <c r="G6" s="11">
        <v>18.32</v>
      </c>
      <c r="H6" s="11">
        <v>19.99</v>
      </c>
      <c r="I6" s="11">
        <v>20.09</v>
      </c>
      <c r="J6" s="11">
        <v>21.77</v>
      </c>
      <c r="K6" s="11">
        <v>20.11</v>
      </c>
      <c r="L6" s="11">
        <v>26.94</v>
      </c>
      <c r="M6" s="11">
        <v>24.26</v>
      </c>
      <c r="N6" s="11">
        <v>20.28</v>
      </c>
      <c r="O6" s="13">
        <f>'ต.ค.68'!H7</f>
        <v>25.61631994</v>
      </c>
      <c r="P6" s="14">
        <f>VLOOKUP(A6,'พ.ย. 68'!$A$2:$N$26,10,1)</f>
        <v>23.07951525</v>
      </c>
      <c r="Q6" s="14">
        <f>VLOOKUP(A6,'ธ.ค. 68'!$A$2:$N$26,10,1)</f>
        <v>24.0344009</v>
      </c>
      <c r="R6" s="8">
        <v>19.648354059370554</v>
      </c>
      <c r="S6" s="15"/>
      <c r="T6" s="15"/>
      <c r="U6" s="15"/>
      <c r="V6" s="15"/>
      <c r="W6" s="15"/>
      <c r="X6" s="15"/>
      <c r="Y6" s="15"/>
      <c r="Z6" s="15"/>
      <c r="AA6" s="7"/>
    </row>
    <row r="7">
      <c r="A7" s="12">
        <v>5.0</v>
      </c>
      <c r="B7" s="11" t="s">
        <v>31</v>
      </c>
      <c r="C7" s="11">
        <v>24.57</v>
      </c>
      <c r="D7" s="11">
        <v>26.22</v>
      </c>
      <c r="E7" s="11">
        <v>25.54</v>
      </c>
      <c r="F7" s="11">
        <v>28.28</v>
      </c>
      <c r="G7" s="11">
        <v>28.94</v>
      </c>
      <c r="H7" s="11">
        <v>29.26</v>
      </c>
      <c r="I7" s="11">
        <v>29.43</v>
      </c>
      <c r="J7" s="11">
        <v>31.61</v>
      </c>
      <c r="K7" s="11">
        <v>34.7</v>
      </c>
      <c r="L7" s="11">
        <v>35.14</v>
      </c>
      <c r="M7" s="11">
        <v>34.82</v>
      </c>
      <c r="N7" s="11">
        <v>30.31</v>
      </c>
      <c r="O7" s="13">
        <f>'ต.ค.68'!H8</f>
        <v>35.48782519</v>
      </c>
      <c r="P7" s="14">
        <f>VLOOKUP(A7,'พ.ย. 68'!$A$2:$N$26,10,1)</f>
        <v>34.95352463</v>
      </c>
      <c r="Q7" s="14">
        <f>VLOOKUP(A7,'ธ.ค. 68'!$A$2:$N$26,10,1)</f>
        <v>37.66655402</v>
      </c>
      <c r="R7" s="8">
        <v>30.68249050852996</v>
      </c>
      <c r="S7" s="15"/>
      <c r="T7" s="15"/>
      <c r="U7" s="15"/>
      <c r="V7" s="15"/>
      <c r="W7" s="15"/>
      <c r="X7" s="15"/>
      <c r="Y7" s="15"/>
      <c r="Z7" s="15"/>
      <c r="AA7" s="7"/>
    </row>
    <row r="8">
      <c r="A8" s="12">
        <v>6.0</v>
      </c>
      <c r="B8" s="11" t="s">
        <v>32</v>
      </c>
      <c r="C8" s="11">
        <v>17.64</v>
      </c>
      <c r="D8" s="11">
        <v>16.38</v>
      </c>
      <c r="E8" s="11">
        <v>15.54</v>
      </c>
      <c r="F8" s="11">
        <v>17.46</v>
      </c>
      <c r="G8" s="11">
        <v>21.77</v>
      </c>
      <c r="H8" s="11">
        <v>24.43</v>
      </c>
      <c r="I8" s="11">
        <v>22.54</v>
      </c>
      <c r="J8" s="11">
        <v>26.39</v>
      </c>
      <c r="K8" s="11">
        <v>24.87</v>
      </c>
      <c r="L8" s="11">
        <v>24.71</v>
      </c>
      <c r="M8" s="11">
        <v>21.91</v>
      </c>
      <c r="N8" s="11">
        <v>22.48</v>
      </c>
      <c r="O8" s="13">
        <f>'ต.ค.68'!H9</f>
        <v>28.39752502</v>
      </c>
      <c r="P8" s="14">
        <f>VLOOKUP(A8,'พ.ย. 68'!$A$2:$N$26,10,1)</f>
        <v>23.05687757</v>
      </c>
      <c r="Q8" s="14">
        <f>VLOOKUP(A8,'ธ.ค. 68'!$A$2:$N$26,10,1)</f>
        <v>28.68556115</v>
      </c>
      <c r="R8" s="8">
        <v>24.373788246829942</v>
      </c>
      <c r="S8" s="15"/>
      <c r="T8" s="15"/>
      <c r="U8" s="15"/>
      <c r="V8" s="15"/>
      <c r="W8" s="15"/>
      <c r="X8" s="15"/>
      <c r="Y8" s="15"/>
      <c r="Z8" s="15"/>
      <c r="AA8" s="7"/>
    </row>
    <row r="9">
      <c r="A9" s="12">
        <v>7.0</v>
      </c>
      <c r="B9" s="11" t="s">
        <v>33</v>
      </c>
      <c r="C9" s="11">
        <v>14.98</v>
      </c>
      <c r="D9" s="11">
        <v>15.03</v>
      </c>
      <c r="E9" s="11">
        <v>14.64</v>
      </c>
      <c r="F9" s="11">
        <v>12.32</v>
      </c>
      <c r="G9" s="11">
        <v>14.08</v>
      </c>
      <c r="H9" s="11">
        <v>14.91</v>
      </c>
      <c r="I9" s="11">
        <v>11.37</v>
      </c>
      <c r="J9" s="11">
        <v>15.88</v>
      </c>
      <c r="K9" s="11">
        <v>13.68</v>
      </c>
      <c r="L9" s="11">
        <v>10.19</v>
      </c>
      <c r="M9" s="11">
        <v>8.67</v>
      </c>
      <c r="N9" s="11">
        <v>9.16</v>
      </c>
      <c r="O9" s="13">
        <f>'ต.ค.68'!H10</f>
        <v>11.32465789</v>
      </c>
      <c r="P9" s="14">
        <f>VLOOKUP(A9,'พ.ย. 68'!$A$2:$N$26,10,1)</f>
        <v>10.24933057</v>
      </c>
      <c r="Q9" s="14">
        <f>VLOOKUP(A9,'ธ.ค. 68'!$A$2:$N$26,10,1)</f>
        <v>6.55242199</v>
      </c>
      <c r="R9" s="16">
        <v>10.86244492725098</v>
      </c>
      <c r="S9" s="15"/>
      <c r="T9" s="15"/>
      <c r="U9" s="15"/>
      <c r="V9" s="15"/>
      <c r="W9" s="15"/>
      <c r="X9" s="15"/>
      <c r="Y9" s="15"/>
      <c r="Z9" s="15"/>
      <c r="AA9" s="7"/>
    </row>
    <row r="10">
      <c r="A10" s="12">
        <v>8.0</v>
      </c>
      <c r="B10" s="11" t="s">
        <v>34</v>
      </c>
      <c r="C10" s="11">
        <v>11.46</v>
      </c>
      <c r="D10" s="11">
        <v>9.99</v>
      </c>
      <c r="E10" s="11">
        <v>11.82</v>
      </c>
      <c r="F10" s="11">
        <v>11.22</v>
      </c>
      <c r="G10" s="11">
        <v>9.14</v>
      </c>
      <c r="H10" s="11">
        <v>8.34</v>
      </c>
      <c r="I10" s="11">
        <v>7.41</v>
      </c>
      <c r="J10" s="11">
        <v>8.04</v>
      </c>
      <c r="K10" s="11">
        <v>10.0</v>
      </c>
      <c r="L10" s="11">
        <v>8.85</v>
      </c>
      <c r="M10" s="11">
        <v>1.17</v>
      </c>
      <c r="N10" s="11">
        <v>7.41</v>
      </c>
      <c r="O10" s="13">
        <f>'ต.ค.68'!H11</f>
        <v>13.45532365</v>
      </c>
      <c r="P10" s="14">
        <f>VLOOKUP(A10,'พ.ย. 68'!$A$2:$N$26,10,1)</f>
        <v>9.602278983</v>
      </c>
      <c r="Q10" s="14">
        <f>VLOOKUP(A10,'ธ.ค. 68'!$A$2:$N$26,10,1)</f>
        <v>12.84630517</v>
      </c>
      <c r="R10" s="8">
        <v>9.883755442368932</v>
      </c>
      <c r="S10" s="15"/>
      <c r="T10" s="15"/>
      <c r="U10" s="15"/>
      <c r="V10" s="15"/>
      <c r="W10" s="15"/>
      <c r="X10" s="15"/>
      <c r="Y10" s="15"/>
      <c r="Z10" s="15"/>
      <c r="AA10" s="7"/>
    </row>
    <row r="11">
      <c r="A11" s="12">
        <v>9.0</v>
      </c>
      <c r="B11" s="11" t="s">
        <v>35</v>
      </c>
      <c r="C11" s="11">
        <v>28.6</v>
      </c>
      <c r="D11" s="11">
        <v>28.21</v>
      </c>
      <c r="E11" s="11">
        <v>27.32</v>
      </c>
      <c r="F11" s="11">
        <v>25.8</v>
      </c>
      <c r="G11" s="11">
        <v>25.83</v>
      </c>
      <c r="H11" s="11">
        <v>27.34</v>
      </c>
      <c r="I11" s="11">
        <v>23.75</v>
      </c>
      <c r="J11" s="11">
        <v>29.65</v>
      </c>
      <c r="K11" s="11">
        <v>29.2</v>
      </c>
      <c r="L11" s="11">
        <v>28.99</v>
      </c>
      <c r="M11" s="11">
        <v>26.97</v>
      </c>
      <c r="N11" s="11">
        <v>22.85</v>
      </c>
      <c r="O11" s="13">
        <f>'ต.ค.68'!H12</f>
        <v>32.46496725</v>
      </c>
      <c r="P11" s="14">
        <f>VLOOKUP(A11,'พ.ย. 68'!$A$2:$N$26,10,1)</f>
        <v>30.6279843</v>
      </c>
      <c r="Q11" s="14">
        <f>VLOOKUP(A11,'ธ.ค. 68'!$A$2:$N$26,10,1)</f>
        <v>30.46790549</v>
      </c>
      <c r="R11" s="8">
        <v>28.161334101237962</v>
      </c>
      <c r="S11" s="15"/>
      <c r="T11" s="15"/>
      <c r="U11" s="15"/>
      <c r="V11" s="15"/>
      <c r="W11" s="15"/>
      <c r="X11" s="15"/>
      <c r="Y11" s="15"/>
      <c r="Z11" s="15"/>
      <c r="AA11" s="7"/>
    </row>
    <row r="12">
      <c r="A12" s="12">
        <v>10.0</v>
      </c>
      <c r="B12" s="11" t="s">
        <v>36</v>
      </c>
      <c r="C12" s="11">
        <v>31.75</v>
      </c>
      <c r="D12" s="11">
        <v>30.74</v>
      </c>
      <c r="E12" s="11">
        <v>30.06</v>
      </c>
      <c r="F12" s="11">
        <v>37.11</v>
      </c>
      <c r="G12" s="11">
        <v>35.32</v>
      </c>
      <c r="H12" s="11">
        <v>24.22</v>
      </c>
      <c r="I12" s="11">
        <v>31.16</v>
      </c>
      <c r="J12" s="11">
        <v>31.38</v>
      </c>
      <c r="K12" s="11">
        <v>30.63</v>
      </c>
      <c r="L12" s="11">
        <v>31.38</v>
      </c>
      <c r="M12" s="11">
        <v>30.12</v>
      </c>
      <c r="N12" s="11">
        <v>28.45</v>
      </c>
      <c r="O12" s="13">
        <f>'ต.ค.68'!H13</f>
        <v>30.02214685</v>
      </c>
      <c r="P12" s="14">
        <f>VLOOKUP(A12,'พ.ย. 68'!$A$2:$N$26,10,1)</f>
        <v>25.03315373</v>
      </c>
      <c r="Q12" s="14">
        <f>VLOOKUP(A12,'ธ.ค. 68'!$A$2:$N$26,10,1)</f>
        <v>29.36993435</v>
      </c>
      <c r="R12" s="8">
        <v>28.79609515090118</v>
      </c>
      <c r="S12" s="15"/>
      <c r="T12" s="15"/>
      <c r="U12" s="15"/>
      <c r="V12" s="15"/>
      <c r="W12" s="15"/>
      <c r="X12" s="15"/>
      <c r="Y12" s="15"/>
      <c r="Z12" s="15"/>
      <c r="AA12" s="7"/>
    </row>
    <row r="13">
      <c r="A13" s="12">
        <v>11.0</v>
      </c>
      <c r="B13" s="11" t="s">
        <v>37</v>
      </c>
      <c r="C13" s="11">
        <v>15.58</v>
      </c>
      <c r="D13" s="11">
        <v>12.55</v>
      </c>
      <c r="E13" s="11">
        <v>11.33</v>
      </c>
      <c r="F13" s="11">
        <v>15.62</v>
      </c>
      <c r="G13" s="11">
        <v>14.14</v>
      </c>
      <c r="H13" s="11">
        <v>10.23</v>
      </c>
      <c r="I13" s="11">
        <v>10.58</v>
      </c>
      <c r="J13" s="11">
        <v>17.03</v>
      </c>
      <c r="K13" s="11">
        <v>13.29</v>
      </c>
      <c r="L13" s="11">
        <v>16.44</v>
      </c>
      <c r="M13" s="11">
        <v>13.21</v>
      </c>
      <c r="N13" s="11">
        <v>11.06</v>
      </c>
      <c r="O13" s="13">
        <f>'ต.ค.68'!H14</f>
        <v>16.07766228</v>
      </c>
      <c r="P13" s="14">
        <f>VLOOKUP(A13,'พ.ย. 68'!$A$2:$N$26,10,1)</f>
        <v>8.992810919</v>
      </c>
      <c r="Q13" s="14">
        <f>VLOOKUP(A13,'ธ.ค. 68'!$A$2:$N$26,10,1)</f>
        <v>14.10088933</v>
      </c>
      <c r="R13" s="8">
        <v>7.76555328247451</v>
      </c>
      <c r="S13" s="15"/>
      <c r="T13" s="15"/>
      <c r="U13" s="15"/>
      <c r="V13" s="15"/>
      <c r="W13" s="15"/>
      <c r="X13" s="15"/>
      <c r="Y13" s="15"/>
      <c r="Z13" s="15"/>
      <c r="AA13" s="7"/>
    </row>
    <row r="14">
      <c r="A14" s="12">
        <v>12.0</v>
      </c>
      <c r="B14" s="11" t="s">
        <v>38</v>
      </c>
      <c r="C14" s="11">
        <v>34.95</v>
      </c>
      <c r="D14" s="11">
        <v>30.6</v>
      </c>
      <c r="E14" s="11">
        <v>32.0</v>
      </c>
      <c r="F14" s="11">
        <v>30.6</v>
      </c>
      <c r="G14" s="11">
        <v>31.93</v>
      </c>
      <c r="H14" s="11">
        <v>27.37</v>
      </c>
      <c r="I14" s="11">
        <v>26.22</v>
      </c>
      <c r="J14" s="11">
        <v>27.27</v>
      </c>
      <c r="K14" s="11">
        <v>17.98</v>
      </c>
      <c r="L14" s="11">
        <v>20.11</v>
      </c>
      <c r="M14" s="11">
        <v>22.09</v>
      </c>
      <c r="N14" s="11">
        <v>24.17</v>
      </c>
      <c r="O14" s="13">
        <f>'ต.ค.68'!H15</f>
        <v>26.17153267</v>
      </c>
      <c r="P14" s="14">
        <f>VLOOKUP(A14,'พ.ย. 68'!$A$2:$N$26,10,1)</f>
        <v>27.25459277</v>
      </c>
      <c r="Q14" s="14">
        <f>VLOOKUP(A14,'ธ.ค. 68'!$A$2:$N$26,10,1)</f>
        <v>28.29786106</v>
      </c>
      <c r="R14" s="8">
        <v>25.807357053213504</v>
      </c>
      <c r="S14" s="15"/>
      <c r="T14" s="15"/>
      <c r="U14" s="15"/>
      <c r="V14" s="15"/>
      <c r="W14" s="15"/>
      <c r="X14" s="15"/>
      <c r="Y14" s="15"/>
      <c r="Z14" s="15"/>
      <c r="AA14" s="7"/>
    </row>
    <row r="15">
      <c r="A15" s="12">
        <v>13.0</v>
      </c>
      <c r="B15" s="11" t="s">
        <v>39</v>
      </c>
      <c r="C15" s="11">
        <v>54.72</v>
      </c>
      <c r="D15" s="11">
        <v>52.5</v>
      </c>
      <c r="E15" s="11">
        <v>48.14</v>
      </c>
      <c r="F15" s="11">
        <v>47.43</v>
      </c>
      <c r="G15" s="11">
        <v>42.45</v>
      </c>
      <c r="H15" s="11">
        <v>44.1</v>
      </c>
      <c r="I15" s="11">
        <v>44.45</v>
      </c>
      <c r="J15" s="11">
        <v>46.27</v>
      </c>
      <c r="K15" s="11">
        <v>42.25</v>
      </c>
      <c r="L15" s="11">
        <v>50.47</v>
      </c>
      <c r="M15" s="11">
        <v>46.35</v>
      </c>
      <c r="N15" s="11">
        <v>45.09</v>
      </c>
      <c r="O15" s="13">
        <f>'ต.ค.68'!H16</f>
        <v>50.20839956</v>
      </c>
      <c r="P15" s="14">
        <f>VLOOKUP(A15,'พ.ย. 68'!$A$2:$N$26,10,1)</f>
        <v>43.2194551</v>
      </c>
      <c r="Q15" s="14">
        <f>VLOOKUP(A15,'ธ.ค. 68'!$A$2:$N$26,10,1)</f>
        <v>37.24192402</v>
      </c>
      <c r="R15" s="8">
        <v>41.869154894301836</v>
      </c>
      <c r="S15" s="15"/>
      <c r="T15" s="15"/>
      <c r="U15" s="15"/>
      <c r="V15" s="15"/>
      <c r="W15" s="15"/>
      <c r="X15" s="15"/>
      <c r="Y15" s="15"/>
      <c r="Z15" s="15"/>
      <c r="AA15" s="7"/>
    </row>
    <row r="16">
      <c r="A16" s="12">
        <v>14.0</v>
      </c>
      <c r="B16" s="11" t="s">
        <v>40</v>
      </c>
      <c r="C16" s="11">
        <v>31.21</v>
      </c>
      <c r="D16" s="11">
        <v>34.11</v>
      </c>
      <c r="E16" s="11">
        <v>31.73</v>
      </c>
      <c r="F16" s="11">
        <v>35.62</v>
      </c>
      <c r="G16" s="11">
        <v>32.7</v>
      </c>
      <c r="H16" s="11">
        <v>31.94</v>
      </c>
      <c r="I16" s="11">
        <v>29.21</v>
      </c>
      <c r="J16" s="11">
        <v>32.85</v>
      </c>
      <c r="K16" s="11">
        <v>27.63</v>
      </c>
      <c r="L16" s="11">
        <v>33.08</v>
      </c>
      <c r="M16" s="11">
        <v>34.77</v>
      </c>
      <c r="N16" s="11">
        <v>35.12</v>
      </c>
      <c r="O16" s="13">
        <f>'ต.ค.68'!H17</f>
        <v>33.41347527</v>
      </c>
      <c r="P16" s="14">
        <f>VLOOKUP(A16,'พ.ย. 68'!$A$2:$N$26,10,1)</f>
        <v>31.55969766</v>
      </c>
      <c r="Q16" s="14">
        <f>VLOOKUP(A16,'ธ.ค. 68'!$A$2:$N$26,10,1)</f>
        <v>32.43758812</v>
      </c>
      <c r="R16" s="8">
        <v>37.86050642586892</v>
      </c>
      <c r="S16" s="15"/>
      <c r="T16" s="15"/>
      <c r="U16" s="15"/>
      <c r="V16" s="15"/>
      <c r="W16" s="15"/>
      <c r="X16" s="15"/>
      <c r="Y16" s="15"/>
      <c r="Z16" s="15"/>
      <c r="AA16" s="7"/>
    </row>
    <row r="17">
      <c r="A17" s="12">
        <v>15.0</v>
      </c>
      <c r="B17" s="11" t="s">
        <v>41</v>
      </c>
      <c r="C17" s="11">
        <v>50.5</v>
      </c>
      <c r="D17" s="11">
        <v>48.62</v>
      </c>
      <c r="E17" s="11">
        <v>46.29</v>
      </c>
      <c r="F17" s="11">
        <v>46.9</v>
      </c>
      <c r="G17" s="11">
        <v>48.63</v>
      </c>
      <c r="H17" s="11">
        <v>47.59</v>
      </c>
      <c r="I17" s="11">
        <v>44.7</v>
      </c>
      <c r="J17" s="11">
        <v>49.69</v>
      </c>
      <c r="K17" s="11">
        <v>42.53</v>
      </c>
      <c r="L17" s="11">
        <v>52.85</v>
      </c>
      <c r="M17" s="11">
        <v>53.09</v>
      </c>
      <c r="N17" s="11">
        <v>55.4</v>
      </c>
      <c r="O17" s="13">
        <f>'ต.ค.68'!H18</f>
        <v>57.44945609</v>
      </c>
      <c r="P17" s="14">
        <f>VLOOKUP(A17,'พ.ย. 68'!$A$2:$N$26,10,1)</f>
        <v>52.13837979</v>
      </c>
      <c r="Q17" s="14">
        <f>VLOOKUP(A17,'ธ.ค. 68'!$A$2:$N$26,10,1)</f>
        <v>55.33242439</v>
      </c>
      <c r="R17" s="8">
        <v>51.18837870126013</v>
      </c>
      <c r="S17" s="15"/>
      <c r="T17" s="15"/>
      <c r="U17" s="15"/>
      <c r="V17" s="15"/>
      <c r="W17" s="15"/>
      <c r="X17" s="15"/>
      <c r="Y17" s="15"/>
      <c r="Z17" s="15"/>
      <c r="AA17" s="7"/>
    </row>
    <row r="18">
      <c r="A18" s="12">
        <v>16.0</v>
      </c>
      <c r="B18" s="11" t="s">
        <v>42</v>
      </c>
      <c r="C18" s="11">
        <v>65.12</v>
      </c>
      <c r="D18" s="11">
        <v>62.87</v>
      </c>
      <c r="E18" s="11">
        <v>62.45</v>
      </c>
      <c r="F18" s="11">
        <v>55.68</v>
      </c>
      <c r="G18" s="11">
        <v>58.17</v>
      </c>
      <c r="H18" s="11">
        <v>55.96</v>
      </c>
      <c r="I18" s="11">
        <v>53.01</v>
      </c>
      <c r="J18" s="11">
        <v>56.69</v>
      </c>
      <c r="K18" s="11">
        <v>55.31</v>
      </c>
      <c r="L18" s="11">
        <v>60.28</v>
      </c>
      <c r="M18" s="11">
        <v>59.32</v>
      </c>
      <c r="N18" s="11">
        <v>58.0</v>
      </c>
      <c r="O18" s="13">
        <f>'ต.ค.68'!H19</f>
        <v>61.58302773</v>
      </c>
      <c r="P18" s="14">
        <f>VLOOKUP(A18,'พ.ย. 68'!$A$2:$N$26,10,1)</f>
        <v>56.45625511</v>
      </c>
      <c r="Q18" s="14">
        <f>VLOOKUP(A18,'ธ.ค. 68'!$A$2:$N$26,10,1)</f>
        <v>61.64170297</v>
      </c>
      <c r="R18" s="8">
        <v>55.391441628325076</v>
      </c>
      <c r="S18" s="15"/>
      <c r="T18" s="15"/>
      <c r="U18" s="15"/>
      <c r="V18" s="15"/>
      <c r="W18" s="15"/>
      <c r="X18" s="15"/>
      <c r="Y18" s="15"/>
      <c r="Z18" s="15"/>
      <c r="AA18" s="7"/>
    </row>
    <row r="19">
      <c r="A19" s="12">
        <v>17.0</v>
      </c>
      <c r="B19" s="11" t="s">
        <v>43</v>
      </c>
      <c r="C19" s="11">
        <v>49.77</v>
      </c>
      <c r="D19" s="11">
        <v>38.47</v>
      </c>
      <c r="E19" s="11">
        <v>38.86</v>
      </c>
      <c r="F19" s="11">
        <v>38.74</v>
      </c>
      <c r="G19" s="11">
        <v>39.93</v>
      </c>
      <c r="H19" s="11">
        <v>40.16</v>
      </c>
      <c r="I19" s="11">
        <v>40.0</v>
      </c>
      <c r="J19" s="11">
        <v>40.89</v>
      </c>
      <c r="K19" s="11">
        <v>40.41</v>
      </c>
      <c r="L19" s="11">
        <v>47.46</v>
      </c>
      <c r="M19" s="11">
        <v>46.56</v>
      </c>
      <c r="N19" s="11">
        <v>46.92</v>
      </c>
      <c r="O19" s="13">
        <f>'ต.ค.68'!H20</f>
        <v>58.62361162</v>
      </c>
      <c r="P19" s="14">
        <f>VLOOKUP(A19,'พ.ย. 68'!$A$2:$N$26,10,1)</f>
        <v>25.55983969</v>
      </c>
      <c r="Q19" s="14">
        <f>VLOOKUP(A19,'ธ.ค. 68'!$A$2:$N$26,10,1)</f>
        <v>54.4284855</v>
      </c>
      <c r="R19" s="8">
        <v>58.37298692878562</v>
      </c>
      <c r="S19" s="15"/>
      <c r="T19" s="15"/>
      <c r="U19" s="15"/>
      <c r="V19" s="15"/>
      <c r="W19" s="15"/>
      <c r="X19" s="15"/>
      <c r="Y19" s="15"/>
      <c r="Z19" s="15"/>
      <c r="AA19" s="7"/>
    </row>
    <row r="20">
      <c r="A20" s="12">
        <v>18.0</v>
      </c>
      <c r="B20" s="11" t="s">
        <v>44</v>
      </c>
      <c r="C20" s="11">
        <v>32.76</v>
      </c>
      <c r="D20" s="11">
        <v>42.03</v>
      </c>
      <c r="E20" s="11">
        <v>42.06</v>
      </c>
      <c r="F20" s="11">
        <v>39.58</v>
      </c>
      <c r="G20" s="11">
        <v>34.77</v>
      </c>
      <c r="H20" s="11">
        <v>37.38</v>
      </c>
      <c r="I20" s="11">
        <v>33.75</v>
      </c>
      <c r="J20" s="11">
        <v>45.38</v>
      </c>
      <c r="K20" s="11">
        <v>33.55</v>
      </c>
      <c r="L20" s="11">
        <v>38.71</v>
      </c>
      <c r="M20" s="11">
        <v>35.38</v>
      </c>
      <c r="N20" s="11">
        <v>35.56</v>
      </c>
      <c r="O20" s="13">
        <f>'ต.ค.68'!H21</f>
        <v>42.80172425</v>
      </c>
      <c r="P20" s="14">
        <f>VLOOKUP(A20,'พ.ย. 68'!$A$2:$N$26,10,1)</f>
        <v>38.07696583</v>
      </c>
      <c r="Q20" s="14">
        <f>VLOOKUP(A20,'ธ.ค. 68'!$A$2:$N$26,10,1)</f>
        <v>43.67715835</v>
      </c>
      <c r="R20" s="8">
        <v>38.568014829916336</v>
      </c>
      <c r="S20" s="15"/>
      <c r="T20" s="15"/>
      <c r="U20" s="15"/>
      <c r="V20" s="15"/>
      <c r="W20" s="15"/>
      <c r="X20" s="15"/>
      <c r="Y20" s="15"/>
      <c r="Z20" s="15"/>
      <c r="AA20" s="7"/>
    </row>
    <row r="21">
      <c r="A21" s="12">
        <v>19.0</v>
      </c>
      <c r="B21" s="11" t="s">
        <v>45</v>
      </c>
      <c r="C21" s="11">
        <v>23.66</v>
      </c>
      <c r="D21" s="11">
        <v>26.76</v>
      </c>
      <c r="E21" s="11">
        <v>14.22</v>
      </c>
      <c r="F21" s="11">
        <v>15.88</v>
      </c>
      <c r="G21" s="11">
        <v>13.57</v>
      </c>
      <c r="H21" s="11">
        <v>17.77</v>
      </c>
      <c r="I21" s="11">
        <v>19.3</v>
      </c>
      <c r="J21" s="11">
        <v>22.11</v>
      </c>
      <c r="K21" s="11">
        <v>24.03</v>
      </c>
      <c r="L21" s="11">
        <v>28.38</v>
      </c>
      <c r="M21" s="11">
        <v>25.04</v>
      </c>
      <c r="N21" s="11">
        <v>19.45</v>
      </c>
      <c r="O21" s="13">
        <f>'ต.ค.68'!H22</f>
        <v>24.66582078</v>
      </c>
      <c r="P21" s="14">
        <f>VLOOKUP(A21,'พ.ย. 68'!$A$2:$N$26,10,1)</f>
        <v>18.9737431</v>
      </c>
      <c r="Q21" s="14">
        <f>VLOOKUP(A21,'ธ.ค. 68'!$A$2:$N$26,10,1)</f>
        <v>23.17045003</v>
      </c>
      <c r="R21" s="8">
        <v>19.89463937933016</v>
      </c>
      <c r="S21" s="15"/>
      <c r="T21" s="15"/>
      <c r="U21" s="15"/>
      <c r="V21" s="15"/>
      <c r="W21" s="15"/>
      <c r="X21" s="15"/>
      <c r="Y21" s="15"/>
      <c r="Z21" s="15"/>
      <c r="AA21" s="7"/>
    </row>
    <row r="22">
      <c r="A22" s="12">
        <v>20.0</v>
      </c>
      <c r="B22" s="11" t="s">
        <v>46</v>
      </c>
      <c r="C22" s="11">
        <v>23.87</v>
      </c>
      <c r="D22" s="11">
        <v>30.02</v>
      </c>
      <c r="E22" s="11">
        <v>34.43</v>
      </c>
      <c r="F22" s="11">
        <v>33.54</v>
      </c>
      <c r="G22" s="11">
        <v>28.18</v>
      </c>
      <c r="H22" s="11">
        <v>33.13</v>
      </c>
      <c r="I22" s="11">
        <v>33.99</v>
      </c>
      <c r="J22" s="11">
        <v>33.86</v>
      </c>
      <c r="K22" s="11">
        <v>35.19</v>
      </c>
      <c r="L22" s="11">
        <v>33.21</v>
      </c>
      <c r="M22" s="11">
        <v>32.07</v>
      </c>
      <c r="N22" s="11">
        <v>36.18</v>
      </c>
      <c r="O22" s="13">
        <f>'ต.ค.68'!H23</f>
        <v>39.5273921</v>
      </c>
      <c r="P22" s="14">
        <f>VLOOKUP(A22,'พ.ย. 68'!$A$2:$N$26,10,1)</f>
        <v>40.00462409</v>
      </c>
      <c r="Q22" s="14">
        <f>VLOOKUP(A22,'ธ.ค. 68'!$A$2:$N$26,10,1)</f>
        <v>43.1525094</v>
      </c>
      <c r="R22" s="8">
        <v>42.51435130302752</v>
      </c>
      <c r="S22" s="15"/>
      <c r="T22" s="15"/>
      <c r="U22" s="15"/>
      <c r="V22" s="15"/>
      <c r="W22" s="15"/>
      <c r="X22" s="15"/>
      <c r="Y22" s="15"/>
      <c r="Z22" s="15"/>
      <c r="AA22" s="7"/>
    </row>
    <row r="23">
      <c r="A23" s="17">
        <v>21.0</v>
      </c>
      <c r="B23" s="11" t="s">
        <v>47</v>
      </c>
      <c r="C23" s="11">
        <v>48.12</v>
      </c>
      <c r="D23" s="11">
        <v>47.7</v>
      </c>
      <c r="E23" s="11">
        <v>45.34</v>
      </c>
      <c r="F23" s="11">
        <v>39.58</v>
      </c>
      <c r="G23" s="11">
        <v>45.95</v>
      </c>
      <c r="H23" s="11">
        <v>44.22</v>
      </c>
      <c r="I23" s="11">
        <v>45.59</v>
      </c>
      <c r="J23" s="11">
        <v>48.24</v>
      </c>
      <c r="K23" s="11">
        <v>47.25</v>
      </c>
      <c r="L23" s="11">
        <v>46.77</v>
      </c>
      <c r="M23" s="11">
        <v>48.58</v>
      </c>
      <c r="N23" s="11">
        <v>48.68</v>
      </c>
      <c r="O23" s="13">
        <f>'ต.ค.68'!H24</f>
        <v>52.8634051</v>
      </c>
      <c r="P23" s="14">
        <f>VLOOKUP(A23,'พ.ย. 68'!$A$2:$N$26,10,1)</f>
        <v>49.39584858</v>
      </c>
      <c r="Q23" s="14">
        <f>VLOOKUP(A23,'ธ.ค. 68'!$A$2:$N$26,10,1)</f>
        <v>47.6543896</v>
      </c>
      <c r="R23" s="8">
        <v>48.980718449385705</v>
      </c>
      <c r="S23" s="15"/>
      <c r="T23" s="15"/>
      <c r="U23" s="15"/>
      <c r="V23" s="15"/>
      <c r="W23" s="15"/>
      <c r="X23" s="15"/>
      <c r="Y23" s="15"/>
      <c r="Z23" s="15"/>
      <c r="AA23" s="7"/>
    </row>
    <row r="24">
      <c r="A24" s="17">
        <v>22.0</v>
      </c>
      <c r="B24" s="11" t="s">
        <v>48</v>
      </c>
      <c r="C24" s="11">
        <v>35.79</v>
      </c>
      <c r="D24" s="11">
        <v>37.37</v>
      </c>
      <c r="E24" s="11">
        <v>36.74</v>
      </c>
      <c r="F24" s="11">
        <v>32.68</v>
      </c>
      <c r="G24" s="11">
        <v>40.85</v>
      </c>
      <c r="H24" s="11">
        <v>33.13</v>
      </c>
      <c r="I24" s="11">
        <v>31.63</v>
      </c>
      <c r="J24" s="11">
        <v>31.68</v>
      </c>
      <c r="K24" s="11">
        <v>29.51</v>
      </c>
      <c r="L24" s="11">
        <v>32.23</v>
      </c>
      <c r="M24" s="11">
        <v>30.41</v>
      </c>
      <c r="N24" s="11">
        <v>29.4</v>
      </c>
      <c r="O24" s="13">
        <f>'ต.ค.68'!H25</f>
        <v>34.61324061</v>
      </c>
      <c r="P24" s="14">
        <f>VLOOKUP(A24,'พ.ย. 68'!$A$2:$N$26,10,1)</f>
        <v>31.36502101</v>
      </c>
      <c r="Q24" s="14">
        <f>VLOOKUP(A24,'ธ.ค. 68'!$A$2:$N$26,10,1)</f>
        <v>32.87500707</v>
      </c>
      <c r="R24" s="8">
        <v>28.88816781780515</v>
      </c>
      <c r="S24" s="15"/>
      <c r="T24" s="15"/>
      <c r="U24" s="15"/>
      <c r="V24" s="15"/>
      <c r="W24" s="15"/>
      <c r="X24" s="15"/>
      <c r="Y24" s="15"/>
      <c r="Z24" s="15"/>
      <c r="AA24" s="7"/>
    </row>
    <row r="25">
      <c r="A25" s="17">
        <v>23.0</v>
      </c>
      <c r="B25" s="11" t="s">
        <v>49</v>
      </c>
      <c r="C25" s="11">
        <v>27.8</v>
      </c>
      <c r="D25" s="11">
        <v>26.99</v>
      </c>
      <c r="E25" s="11">
        <v>26.26</v>
      </c>
      <c r="F25" s="11">
        <v>27.02</v>
      </c>
      <c r="G25" s="11">
        <v>27.75</v>
      </c>
      <c r="H25" s="11">
        <v>24.64</v>
      </c>
      <c r="I25" s="11">
        <v>25.94</v>
      </c>
      <c r="J25" s="11">
        <v>27.83</v>
      </c>
      <c r="K25" s="11">
        <v>26.93</v>
      </c>
      <c r="L25" s="11">
        <v>27.54</v>
      </c>
      <c r="M25" s="11">
        <v>25.97</v>
      </c>
      <c r="N25" s="11">
        <v>25.34</v>
      </c>
      <c r="O25" s="13">
        <f>'ต.ค.68'!H26</f>
        <v>29.7076207</v>
      </c>
      <c r="P25" s="14">
        <f>VLOOKUP(A25,'พ.ย. 68'!$A$2:$N$26,10,1)</f>
        <v>26.84339548</v>
      </c>
      <c r="Q25" s="14">
        <f>VLOOKUP(A25,'ธ.ค. 68'!$A$2:$N$26,10,1)</f>
        <v>28.65516631</v>
      </c>
      <c r="R25" s="18">
        <v>27.128638759402257</v>
      </c>
      <c r="S25" s="15"/>
      <c r="T25" s="15"/>
      <c r="U25" s="15"/>
      <c r="V25" s="15"/>
      <c r="W25" s="15"/>
      <c r="X25" s="15"/>
      <c r="Y25" s="15"/>
      <c r="Z25" s="15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7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2" width="15.78"/>
    <col customWidth="1" min="3" max="3" width="17.56"/>
    <col customWidth="1" min="4" max="14" width="13.89"/>
    <col customWidth="1" min="15" max="15" width="17.11"/>
    <col customWidth="1" min="16" max="17" width="13.89"/>
    <col customWidth="1" min="18" max="18" width="7.22"/>
    <col customWidth="1" min="19" max="19" width="7.44"/>
    <col customWidth="1" min="20" max="20" width="7.22"/>
    <col customWidth="1" min="21" max="21" width="7.78"/>
    <col customWidth="1" min="22" max="22" width="7.44"/>
    <col customWidth="1" min="23" max="23" width="7.22"/>
    <col customWidth="1" min="24" max="24" width="7.11"/>
    <col customWidth="1" min="25" max="25" width="7.22"/>
    <col customWidth="1" min="26" max="26" width="7.11"/>
  </cols>
  <sheetData>
    <row r="1">
      <c r="A1" s="19"/>
      <c r="B1" s="2" t="s">
        <v>0</v>
      </c>
      <c r="C1" s="3" t="s">
        <v>1</v>
      </c>
      <c r="D1" s="4"/>
      <c r="E1" s="4"/>
      <c r="F1" s="4"/>
      <c r="G1" s="4"/>
      <c r="H1" s="4"/>
      <c r="I1" s="4"/>
      <c r="J1" s="4"/>
      <c r="K1" s="4"/>
      <c r="L1" s="4"/>
      <c r="M1" s="4"/>
      <c r="N1" s="5"/>
      <c r="O1" s="6" t="s">
        <v>2</v>
      </c>
      <c r="P1" s="4"/>
      <c r="Q1" s="4"/>
      <c r="R1" s="4"/>
      <c r="S1" s="4"/>
      <c r="T1" s="4"/>
      <c r="U1" s="4"/>
      <c r="V1" s="4"/>
      <c r="W1" s="4"/>
      <c r="X1" s="4"/>
      <c r="Y1" s="4"/>
      <c r="Z1" s="5"/>
      <c r="AA1" s="7"/>
    </row>
    <row r="2">
      <c r="A2" s="20"/>
      <c r="B2" s="9"/>
      <c r="C2" s="10" t="s">
        <v>3</v>
      </c>
      <c r="D2" s="10" t="s">
        <v>4</v>
      </c>
      <c r="E2" s="10" t="s">
        <v>5</v>
      </c>
      <c r="F2" s="10" t="s">
        <v>6</v>
      </c>
      <c r="G2" s="10" t="s">
        <v>7</v>
      </c>
      <c r="H2" s="10" t="s">
        <v>8</v>
      </c>
      <c r="I2" s="10" t="s">
        <v>9</v>
      </c>
      <c r="J2" s="10" t="s">
        <v>10</v>
      </c>
      <c r="K2" s="10" t="s">
        <v>11</v>
      </c>
      <c r="L2" s="10" t="s">
        <v>12</v>
      </c>
      <c r="M2" s="10" t="s">
        <v>13</v>
      </c>
      <c r="N2" s="10" t="s">
        <v>14</v>
      </c>
      <c r="O2" s="11" t="s">
        <v>15</v>
      </c>
      <c r="P2" s="11" t="s">
        <v>16</v>
      </c>
      <c r="Q2" s="11" t="s">
        <v>17</v>
      </c>
      <c r="R2" s="11" t="s">
        <v>18</v>
      </c>
      <c r="S2" s="11" t="s">
        <v>19</v>
      </c>
      <c r="T2" s="11" t="s">
        <v>20</v>
      </c>
      <c r="U2" s="11" t="s">
        <v>21</v>
      </c>
      <c r="V2" s="11" t="s">
        <v>22</v>
      </c>
      <c r="W2" s="11" t="s">
        <v>23</v>
      </c>
      <c r="X2" s="11" t="s">
        <v>24</v>
      </c>
      <c r="Y2" s="11" t="s">
        <v>25</v>
      </c>
      <c r="Z2" s="11" t="s">
        <v>26</v>
      </c>
      <c r="AA2" s="7"/>
    </row>
    <row r="3">
      <c r="A3" s="21">
        <f t="array" ref="A3:A25">SEQUENCE(23,1)</f>
        <v>1</v>
      </c>
      <c r="B3" s="11" t="s">
        <v>27</v>
      </c>
      <c r="C3" s="22">
        <v>1128527.5999999999</v>
      </c>
      <c r="D3" s="22">
        <v>1075535.73</v>
      </c>
      <c r="E3" s="23">
        <v>1345675.0</v>
      </c>
      <c r="F3" s="22">
        <v>1141685.41</v>
      </c>
      <c r="G3" s="22">
        <v>949754.31</v>
      </c>
      <c r="H3" s="22">
        <v>993534.7600000001</v>
      </c>
      <c r="I3" s="22">
        <v>1096569.38</v>
      </c>
      <c r="J3" s="22">
        <v>1194933.93</v>
      </c>
      <c r="K3" s="22">
        <v>1167115.6400000001</v>
      </c>
      <c r="L3" s="22">
        <v>1142309.64</v>
      </c>
      <c r="M3" s="22">
        <v>1146478.44</v>
      </c>
      <c r="N3" s="22">
        <v>1038271.12</v>
      </c>
      <c r="O3" s="14">
        <v>1170803.13</v>
      </c>
      <c r="P3" s="14">
        <v>1044467.77</v>
      </c>
      <c r="Q3" s="14">
        <v>1410217.82</v>
      </c>
      <c r="R3" s="24"/>
      <c r="S3" s="15"/>
      <c r="T3" s="15"/>
      <c r="U3" s="15"/>
      <c r="V3" s="15"/>
      <c r="W3" s="15"/>
      <c r="X3" s="15"/>
      <c r="Y3" s="15"/>
      <c r="Z3" s="15"/>
      <c r="AA3" s="7"/>
    </row>
    <row r="4">
      <c r="A4" s="21">
        <v>2.0</v>
      </c>
      <c r="B4" s="11" t="s">
        <v>28</v>
      </c>
      <c r="C4" s="22">
        <v>1303649.8399999999</v>
      </c>
      <c r="D4" s="22">
        <v>1435385.9000000004</v>
      </c>
      <c r="E4" s="23">
        <v>1872673.0</v>
      </c>
      <c r="F4" s="22">
        <v>1621370.0199999998</v>
      </c>
      <c r="G4" s="22">
        <v>1681544.2</v>
      </c>
      <c r="H4" s="22">
        <v>1343762.4300000002</v>
      </c>
      <c r="I4" s="22">
        <v>1504290.8599999996</v>
      </c>
      <c r="J4" s="22">
        <v>1504290.8599999996</v>
      </c>
      <c r="K4" s="22">
        <v>1833929.5500000007</v>
      </c>
      <c r="L4" s="22">
        <v>1486590.5100000005</v>
      </c>
      <c r="M4" s="22">
        <v>1140827.19</v>
      </c>
      <c r="N4" s="22">
        <v>1097132.87</v>
      </c>
      <c r="O4" s="14">
        <v>1480715.33</v>
      </c>
      <c r="P4" s="14">
        <v>1253377.8399999999</v>
      </c>
      <c r="Q4" s="14">
        <v>1444461.6600000001</v>
      </c>
      <c r="R4" s="15"/>
      <c r="S4" s="15"/>
      <c r="T4" s="15"/>
      <c r="U4" s="15"/>
      <c r="V4" s="15"/>
      <c r="W4" s="15"/>
      <c r="X4" s="15"/>
      <c r="Y4" s="15"/>
      <c r="Z4" s="15"/>
      <c r="AA4" s="7"/>
    </row>
    <row r="5">
      <c r="A5" s="21">
        <v>3.0</v>
      </c>
      <c r="B5" s="11" t="s">
        <v>29</v>
      </c>
      <c r="C5" s="22">
        <v>522142.95000000007</v>
      </c>
      <c r="D5" s="22">
        <v>374984.6800000001</v>
      </c>
      <c r="E5" s="23">
        <v>510485.0</v>
      </c>
      <c r="F5" s="22">
        <v>459874.7599999999</v>
      </c>
      <c r="G5" s="22">
        <v>344239.13000000006</v>
      </c>
      <c r="H5" s="22">
        <v>409433.70999999996</v>
      </c>
      <c r="I5" s="22">
        <v>410905.60999999987</v>
      </c>
      <c r="J5" s="22">
        <v>497294.56</v>
      </c>
      <c r="K5" s="22">
        <v>476272.19</v>
      </c>
      <c r="L5" s="22">
        <v>431135.53</v>
      </c>
      <c r="M5" s="22">
        <v>467265.14</v>
      </c>
      <c r="N5" s="22">
        <v>489360.44</v>
      </c>
      <c r="O5" s="14">
        <v>548358.01</v>
      </c>
      <c r="P5" s="14">
        <v>691819.65</v>
      </c>
      <c r="Q5" s="14">
        <v>700451.9</v>
      </c>
      <c r="R5" s="15"/>
      <c r="S5" s="15"/>
      <c r="T5" s="15"/>
      <c r="U5" s="15"/>
      <c r="V5" s="15"/>
      <c r="W5" s="15"/>
      <c r="X5" s="15"/>
      <c r="Y5" s="15"/>
      <c r="Z5" s="15"/>
      <c r="AA5" s="7"/>
    </row>
    <row r="6">
      <c r="A6" s="21">
        <v>4.0</v>
      </c>
      <c r="B6" s="11" t="s">
        <v>30</v>
      </c>
      <c r="C6" s="22">
        <v>474616.0</v>
      </c>
      <c r="D6" s="22">
        <v>404212.0</v>
      </c>
      <c r="E6" s="23">
        <v>506684.0</v>
      </c>
      <c r="F6" s="22">
        <v>457677.5</v>
      </c>
      <c r="G6" s="22">
        <v>369985.0</v>
      </c>
      <c r="H6" s="22">
        <v>454310.0</v>
      </c>
      <c r="I6" s="22">
        <v>500026.82</v>
      </c>
      <c r="J6" s="22">
        <v>594124.0</v>
      </c>
      <c r="K6" s="22">
        <v>451782.32</v>
      </c>
      <c r="L6" s="22">
        <v>655130.3200000001</v>
      </c>
      <c r="M6" s="22">
        <v>594603.32</v>
      </c>
      <c r="N6" s="22">
        <v>461042.32</v>
      </c>
      <c r="O6" s="14">
        <v>608955.0</v>
      </c>
      <c r="P6" s="14">
        <v>541855.32</v>
      </c>
      <c r="Q6" s="14">
        <v>558366.0</v>
      </c>
      <c r="R6" s="15"/>
      <c r="S6" s="15"/>
      <c r="T6" s="15"/>
      <c r="U6" s="15"/>
      <c r="V6" s="15"/>
      <c r="W6" s="15"/>
      <c r="X6" s="15"/>
      <c r="Y6" s="15"/>
      <c r="Z6" s="15"/>
      <c r="AA6" s="7"/>
    </row>
    <row r="7">
      <c r="A7" s="21">
        <v>5.0</v>
      </c>
      <c r="B7" s="11" t="s">
        <v>31</v>
      </c>
      <c r="C7" s="22">
        <v>577085.81</v>
      </c>
      <c r="D7" s="22">
        <v>610453.1000000001</v>
      </c>
      <c r="E7" s="23">
        <v>616656.0</v>
      </c>
      <c r="F7" s="22">
        <v>695410.56</v>
      </c>
      <c r="G7" s="22">
        <v>642818.3500000001</v>
      </c>
      <c r="H7" s="22">
        <v>750493.7400000002</v>
      </c>
      <c r="I7" s="22">
        <v>745895.8199999998</v>
      </c>
      <c r="J7" s="22">
        <v>819785.5499999998</v>
      </c>
      <c r="K7" s="22">
        <v>883999.0899999999</v>
      </c>
      <c r="L7" s="22">
        <v>929550.44</v>
      </c>
      <c r="M7" s="22">
        <v>965411.0</v>
      </c>
      <c r="N7" s="22">
        <v>754629.0699999998</v>
      </c>
      <c r="O7" s="14">
        <v>934349.02</v>
      </c>
      <c r="P7" s="14">
        <v>928099.9500000002</v>
      </c>
      <c r="Q7" s="14">
        <v>1057412.67</v>
      </c>
      <c r="R7" s="15"/>
      <c r="S7" s="15"/>
      <c r="T7" s="15"/>
      <c r="U7" s="15"/>
      <c r="V7" s="15"/>
      <c r="W7" s="15"/>
      <c r="X7" s="15"/>
      <c r="Y7" s="15"/>
      <c r="Z7" s="15"/>
      <c r="AA7" s="7"/>
    </row>
    <row r="8">
      <c r="A8" s="21">
        <v>6.0</v>
      </c>
      <c r="B8" s="11" t="s">
        <v>32</v>
      </c>
      <c r="C8" s="22">
        <v>449113.45</v>
      </c>
      <c r="D8" s="22">
        <v>399342.64</v>
      </c>
      <c r="E8" s="23">
        <v>359900.0</v>
      </c>
      <c r="F8" s="22">
        <v>433136.11</v>
      </c>
      <c r="G8" s="22">
        <v>537791.48</v>
      </c>
      <c r="H8" s="22">
        <v>697176.4</v>
      </c>
      <c r="I8" s="22">
        <v>738431.0</v>
      </c>
      <c r="J8" s="22">
        <v>744045.0</v>
      </c>
      <c r="K8" s="22">
        <v>684513.0</v>
      </c>
      <c r="L8" s="22">
        <v>681198.0</v>
      </c>
      <c r="M8" s="22">
        <v>614821.0</v>
      </c>
      <c r="N8" s="22">
        <v>626638.0</v>
      </c>
      <c r="O8" s="14">
        <v>805556.0</v>
      </c>
      <c r="P8" s="14">
        <v>641915.0</v>
      </c>
      <c r="Q8" s="14">
        <v>826355.0</v>
      </c>
      <c r="R8" s="15"/>
      <c r="S8" s="15"/>
      <c r="T8" s="15"/>
      <c r="U8" s="15"/>
      <c r="V8" s="15"/>
      <c r="W8" s="15"/>
      <c r="X8" s="15"/>
      <c r="Y8" s="15"/>
      <c r="Z8" s="15"/>
      <c r="AA8" s="7"/>
    </row>
    <row r="9">
      <c r="A9" s="21">
        <v>7.0</v>
      </c>
      <c r="B9" s="11" t="s">
        <v>33</v>
      </c>
      <c r="C9" s="22">
        <v>162606.62</v>
      </c>
      <c r="D9" s="22">
        <v>159914.27</v>
      </c>
      <c r="E9" s="23">
        <v>98255.0</v>
      </c>
      <c r="F9" s="22">
        <v>128728.58</v>
      </c>
      <c r="G9" s="22">
        <v>144109.08000000002</v>
      </c>
      <c r="H9" s="22">
        <v>168345.05</v>
      </c>
      <c r="I9" s="22">
        <v>138917.05</v>
      </c>
      <c r="J9" s="22">
        <v>180715.45</v>
      </c>
      <c r="K9" s="22">
        <v>147702.0</v>
      </c>
      <c r="L9" s="22">
        <v>107327.90999999992</v>
      </c>
      <c r="M9" s="22">
        <v>90989.31</v>
      </c>
      <c r="N9" s="22">
        <v>90963.19</v>
      </c>
      <c r="O9" s="14">
        <v>119450.0</v>
      </c>
      <c r="P9" s="14">
        <v>105183.55</v>
      </c>
      <c r="Q9" s="14">
        <v>70194.0</v>
      </c>
      <c r="R9" s="15"/>
      <c r="S9" s="15"/>
      <c r="T9" s="15"/>
      <c r="U9" s="15"/>
      <c r="V9" s="15"/>
      <c r="W9" s="15"/>
      <c r="X9" s="15"/>
      <c r="Y9" s="15"/>
      <c r="Z9" s="15"/>
      <c r="AA9" s="7"/>
    </row>
    <row r="10">
      <c r="A10" s="21">
        <v>8.0</v>
      </c>
      <c r="B10" s="11" t="s">
        <v>34</v>
      </c>
      <c r="C10" s="22">
        <v>153128.58000000002</v>
      </c>
      <c r="D10" s="22">
        <v>127881.54000000001</v>
      </c>
      <c r="E10" s="23">
        <v>125869.0</v>
      </c>
      <c r="F10" s="22">
        <v>148677.57</v>
      </c>
      <c r="G10" s="22">
        <v>112692.35</v>
      </c>
      <c r="H10" s="22">
        <v>114469.76999999999</v>
      </c>
      <c r="I10" s="22">
        <v>92844.43</v>
      </c>
      <c r="J10" s="22">
        <v>105662.45999999996</v>
      </c>
      <c r="K10" s="22">
        <v>130169.83999999994</v>
      </c>
      <c r="L10" s="22">
        <v>118289.3899999999</v>
      </c>
      <c r="M10" s="22">
        <v>16115.0</v>
      </c>
      <c r="N10" s="22">
        <v>96053.20999999999</v>
      </c>
      <c r="O10" s="14">
        <v>181989.98</v>
      </c>
      <c r="P10" s="14">
        <v>126452.7</v>
      </c>
      <c r="Q10" s="14">
        <v>175726.15</v>
      </c>
      <c r="R10" s="15"/>
      <c r="S10" s="15"/>
      <c r="T10" s="15"/>
      <c r="U10" s="15"/>
      <c r="V10" s="15"/>
      <c r="W10" s="15"/>
      <c r="X10" s="15"/>
      <c r="Y10" s="15"/>
      <c r="Z10" s="15"/>
      <c r="AA10" s="7"/>
    </row>
    <row r="11">
      <c r="A11" s="21">
        <v>9.0</v>
      </c>
      <c r="B11" s="11" t="s">
        <v>35</v>
      </c>
      <c r="C11" s="22">
        <v>709807.5</v>
      </c>
      <c r="D11" s="22">
        <v>697094.0</v>
      </c>
      <c r="E11" s="23">
        <v>496793.0</v>
      </c>
      <c r="F11" s="22">
        <v>642665.6000000001</v>
      </c>
      <c r="G11" s="22">
        <v>604759.0699999998</v>
      </c>
      <c r="H11" s="22">
        <v>726133.1000000001</v>
      </c>
      <c r="I11" s="22">
        <v>674470.0</v>
      </c>
      <c r="J11" s="22">
        <v>841657.1000000001</v>
      </c>
      <c r="K11" s="22">
        <v>857939.0</v>
      </c>
      <c r="L11" s="22">
        <v>848547.6200000001</v>
      </c>
      <c r="M11" s="22">
        <v>737055.0</v>
      </c>
      <c r="N11" s="22">
        <v>587863.0</v>
      </c>
      <c r="O11" s="14">
        <v>916973.0</v>
      </c>
      <c r="P11" s="14">
        <v>832268.0</v>
      </c>
      <c r="Q11" s="14">
        <v>870933.0</v>
      </c>
      <c r="R11" s="15"/>
      <c r="S11" s="15"/>
      <c r="T11" s="15"/>
      <c r="U11" s="15"/>
      <c r="V11" s="15"/>
      <c r="W11" s="15"/>
      <c r="X11" s="15"/>
      <c r="Y11" s="15"/>
      <c r="Z11" s="15"/>
      <c r="AA11" s="7"/>
    </row>
    <row r="12">
      <c r="A12" s="21">
        <v>10.0</v>
      </c>
      <c r="B12" s="11" t="s">
        <v>36</v>
      </c>
      <c r="C12" s="22">
        <v>259427.0</v>
      </c>
      <c r="D12" s="22">
        <v>250044.0</v>
      </c>
      <c r="E12" s="23">
        <v>240026.0</v>
      </c>
      <c r="F12" s="22">
        <v>349919.0</v>
      </c>
      <c r="G12" s="22">
        <v>293103.0</v>
      </c>
      <c r="H12" s="22">
        <v>227465.0</v>
      </c>
      <c r="I12" s="22">
        <v>318136.0</v>
      </c>
      <c r="J12" s="22">
        <v>291634.7</v>
      </c>
      <c r="K12" s="22">
        <v>280076.0</v>
      </c>
      <c r="L12" s="22">
        <v>285092.88</v>
      </c>
      <c r="M12" s="22">
        <v>263250.0</v>
      </c>
      <c r="N12" s="22">
        <v>220043.0</v>
      </c>
      <c r="O12" s="14">
        <v>237229.0</v>
      </c>
      <c r="P12" s="14">
        <v>186123.0</v>
      </c>
      <c r="Q12" s="14">
        <v>263476.8</v>
      </c>
      <c r="R12" s="15"/>
      <c r="S12" s="15"/>
      <c r="T12" s="15"/>
      <c r="U12" s="15"/>
      <c r="V12" s="15"/>
      <c r="W12" s="15"/>
      <c r="X12" s="15"/>
      <c r="Y12" s="15"/>
      <c r="Z12" s="15"/>
      <c r="AA12" s="7"/>
    </row>
    <row r="13">
      <c r="A13" s="21">
        <v>11.0</v>
      </c>
      <c r="B13" s="11" t="s">
        <v>37</v>
      </c>
      <c r="C13" s="22">
        <v>317548.0</v>
      </c>
      <c r="D13" s="22">
        <v>247352.0</v>
      </c>
      <c r="E13" s="23">
        <v>293689.0</v>
      </c>
      <c r="F13" s="22">
        <v>324981.0</v>
      </c>
      <c r="G13" s="22">
        <v>266683.0</v>
      </c>
      <c r="H13" s="22">
        <v>212237.1299999999</v>
      </c>
      <c r="I13" s="22">
        <v>321623.8899999999</v>
      </c>
      <c r="J13" s="22">
        <v>351527.8899999999</v>
      </c>
      <c r="K13" s="22">
        <v>266430.0</v>
      </c>
      <c r="L13" s="22">
        <v>341443.0</v>
      </c>
      <c r="M13" s="22">
        <v>272890.0</v>
      </c>
      <c r="N13" s="22">
        <v>216500.0</v>
      </c>
      <c r="O13" s="14">
        <v>318571.0</v>
      </c>
      <c r="P13" s="14">
        <v>169159.0</v>
      </c>
      <c r="Q13" s="14">
        <v>277631.0</v>
      </c>
      <c r="R13" s="15"/>
      <c r="S13" s="15"/>
      <c r="T13" s="15"/>
      <c r="U13" s="15"/>
      <c r="V13" s="15"/>
      <c r="W13" s="15"/>
      <c r="X13" s="15"/>
      <c r="Y13" s="15"/>
      <c r="Z13" s="15"/>
      <c r="AA13" s="7"/>
    </row>
    <row r="14">
      <c r="A14" s="21">
        <v>12.0</v>
      </c>
      <c r="B14" s="11" t="s">
        <v>38</v>
      </c>
      <c r="C14" s="22">
        <v>1300495.0</v>
      </c>
      <c r="D14" s="22">
        <v>1077260.0</v>
      </c>
      <c r="E14" s="23">
        <v>1158203.0</v>
      </c>
      <c r="F14" s="22">
        <v>1118493.0</v>
      </c>
      <c r="G14" s="22">
        <v>1051189.0</v>
      </c>
      <c r="H14" s="22">
        <v>1014161.0</v>
      </c>
      <c r="I14" s="22">
        <v>1017563.0</v>
      </c>
      <c r="J14" s="22">
        <v>949211.0</v>
      </c>
      <c r="K14" s="22">
        <v>547289.0</v>
      </c>
      <c r="L14" s="22">
        <v>614758.0</v>
      </c>
      <c r="M14" s="22">
        <v>725898.0</v>
      </c>
      <c r="N14" s="22">
        <v>804649.0</v>
      </c>
      <c r="O14" s="14">
        <v>848736.0</v>
      </c>
      <c r="P14" s="14">
        <v>926068.0</v>
      </c>
      <c r="Q14" s="14">
        <v>976800.0</v>
      </c>
      <c r="R14" s="15"/>
      <c r="S14" s="15"/>
      <c r="T14" s="15"/>
      <c r="U14" s="15"/>
      <c r="V14" s="15"/>
      <c r="W14" s="15"/>
      <c r="X14" s="15"/>
      <c r="Y14" s="15"/>
      <c r="Z14" s="15"/>
      <c r="AA14" s="7"/>
    </row>
    <row r="15">
      <c r="A15" s="21">
        <v>13.0</v>
      </c>
      <c r="B15" s="11" t="s">
        <v>39</v>
      </c>
      <c r="C15" s="22">
        <v>528712.0</v>
      </c>
      <c r="D15" s="22">
        <v>483880.0</v>
      </c>
      <c r="E15" s="23">
        <v>312262.0</v>
      </c>
      <c r="F15" s="22">
        <v>461231.0</v>
      </c>
      <c r="G15" s="22">
        <v>330247.0</v>
      </c>
      <c r="H15" s="22">
        <v>408368.0</v>
      </c>
      <c r="I15" s="22">
        <v>427440.0</v>
      </c>
      <c r="J15" s="22">
        <v>434177.0</v>
      </c>
      <c r="K15" s="22">
        <v>345743.0</v>
      </c>
      <c r="L15" s="22">
        <v>451301.0</v>
      </c>
      <c r="M15" s="22">
        <v>403563.0</v>
      </c>
      <c r="N15" s="22">
        <v>371776.0</v>
      </c>
      <c r="O15" s="14">
        <v>428001.0</v>
      </c>
      <c r="P15" s="14">
        <v>362584.0</v>
      </c>
      <c r="Q15" s="14">
        <v>320161.0</v>
      </c>
      <c r="R15" s="15"/>
      <c r="S15" s="15"/>
      <c r="T15" s="15"/>
      <c r="U15" s="15"/>
      <c r="V15" s="15"/>
      <c r="W15" s="15"/>
      <c r="X15" s="15"/>
      <c r="Y15" s="15"/>
      <c r="Z15" s="15"/>
      <c r="AA15" s="7"/>
    </row>
    <row r="16">
      <c r="A16" s="21">
        <v>14.0</v>
      </c>
      <c r="B16" s="11" t="s">
        <v>40</v>
      </c>
      <c r="C16" s="22">
        <v>622221.0</v>
      </c>
      <c r="D16" s="22">
        <v>594185.0</v>
      </c>
      <c r="E16" s="23">
        <v>477340.0</v>
      </c>
      <c r="F16" s="22">
        <v>636774.0</v>
      </c>
      <c r="G16" s="22">
        <v>520224.0</v>
      </c>
      <c r="H16" s="22">
        <v>644974.0</v>
      </c>
      <c r="I16" s="22">
        <v>670545.0</v>
      </c>
      <c r="J16" s="22">
        <v>632562.0</v>
      </c>
      <c r="K16" s="22">
        <v>643180.0</v>
      </c>
      <c r="L16" s="22">
        <v>660718.0</v>
      </c>
      <c r="M16" s="22">
        <v>705214.0</v>
      </c>
      <c r="N16" s="22">
        <v>686127.0</v>
      </c>
      <c r="O16" s="14">
        <v>675775.0</v>
      </c>
      <c r="P16" s="14">
        <v>615499.0</v>
      </c>
      <c r="Q16" s="14">
        <v>657516.1100000001</v>
      </c>
      <c r="R16" s="15"/>
      <c r="S16" s="15"/>
      <c r="T16" s="15"/>
      <c r="U16" s="15"/>
      <c r="V16" s="15"/>
      <c r="W16" s="15"/>
      <c r="X16" s="15"/>
      <c r="Y16" s="15"/>
      <c r="Z16" s="15"/>
      <c r="AA16" s="7"/>
    </row>
    <row r="17">
      <c r="A17" s="21">
        <v>15.0</v>
      </c>
      <c r="B17" s="11" t="s">
        <v>41</v>
      </c>
      <c r="C17" s="22">
        <v>258380.28</v>
      </c>
      <c r="D17" s="22">
        <v>241915.32</v>
      </c>
      <c r="E17" s="23">
        <v>254895.0</v>
      </c>
      <c r="F17" s="22">
        <v>246063.0</v>
      </c>
      <c r="G17" s="22">
        <v>243867.64</v>
      </c>
      <c r="H17" s="22">
        <v>266254.98</v>
      </c>
      <c r="I17" s="22">
        <v>248626.02</v>
      </c>
      <c r="J17" s="22">
        <v>294089.28</v>
      </c>
      <c r="K17" s="22">
        <v>215916.11</v>
      </c>
      <c r="L17" s="22">
        <v>298496.14</v>
      </c>
      <c r="M17" s="22">
        <v>303232.82</v>
      </c>
      <c r="N17" s="22">
        <v>309966.59</v>
      </c>
      <c r="O17" s="14">
        <v>331286.31</v>
      </c>
      <c r="P17" s="14">
        <v>281207.83</v>
      </c>
      <c r="Q17" s="14">
        <v>318988.66</v>
      </c>
      <c r="R17" s="15"/>
      <c r="S17" s="15"/>
      <c r="T17" s="15"/>
      <c r="U17" s="15"/>
      <c r="V17" s="15"/>
      <c r="W17" s="15"/>
      <c r="X17" s="15"/>
      <c r="Y17" s="15"/>
      <c r="Z17" s="15"/>
      <c r="AA17" s="7"/>
    </row>
    <row r="18">
      <c r="A18" s="21">
        <v>16.0</v>
      </c>
      <c r="B18" s="11" t="s">
        <v>42</v>
      </c>
      <c r="C18" s="22">
        <v>1022061.0</v>
      </c>
      <c r="D18" s="22">
        <v>987846.0</v>
      </c>
      <c r="E18" s="23">
        <v>955097.0</v>
      </c>
      <c r="F18" s="22">
        <v>797836.0</v>
      </c>
      <c r="G18" s="22">
        <v>727134.53</v>
      </c>
      <c r="H18" s="22">
        <v>730950.6499999999</v>
      </c>
      <c r="I18" s="22">
        <v>667021.9199999999</v>
      </c>
      <c r="J18" s="22">
        <v>723514.0</v>
      </c>
      <c r="K18" s="22">
        <v>681957.0</v>
      </c>
      <c r="L18" s="22">
        <v>772888.0</v>
      </c>
      <c r="M18" s="22">
        <v>760587.0</v>
      </c>
      <c r="N18" s="22">
        <v>702618.0</v>
      </c>
      <c r="O18" s="14">
        <v>787751.0</v>
      </c>
      <c r="P18" s="14">
        <v>684575.0</v>
      </c>
      <c r="Q18" s="14">
        <v>807659.47</v>
      </c>
      <c r="R18" s="15"/>
      <c r="S18" s="15"/>
      <c r="T18" s="15"/>
      <c r="U18" s="15"/>
      <c r="V18" s="15"/>
      <c r="W18" s="15"/>
      <c r="X18" s="15"/>
      <c r="Y18" s="15"/>
      <c r="Z18" s="15"/>
      <c r="AA18" s="7"/>
    </row>
    <row r="19">
      <c r="A19" s="21">
        <v>17.0</v>
      </c>
      <c r="B19" s="11" t="s">
        <v>43</v>
      </c>
      <c r="C19" s="22">
        <v>78208.0</v>
      </c>
      <c r="D19" s="22">
        <v>53580.0</v>
      </c>
      <c r="E19" s="23">
        <v>52887.0</v>
      </c>
      <c r="F19" s="22">
        <v>58400.0</v>
      </c>
      <c r="G19" s="22">
        <v>53463.0</v>
      </c>
      <c r="H19" s="22">
        <v>59310.0</v>
      </c>
      <c r="I19" s="22">
        <v>58137.0</v>
      </c>
      <c r="J19" s="22">
        <v>61652.0</v>
      </c>
      <c r="K19" s="22">
        <v>57421.0</v>
      </c>
      <c r="L19" s="22">
        <v>66076.0</v>
      </c>
      <c r="M19" s="22">
        <v>64815.0</v>
      </c>
      <c r="N19" s="22">
        <v>64673.0</v>
      </c>
      <c r="O19" s="14">
        <v>89938.0</v>
      </c>
      <c r="P19" s="14">
        <v>40371.0</v>
      </c>
      <c r="Q19" s="14">
        <v>85968.16</v>
      </c>
      <c r="R19" s="15"/>
      <c r="S19" s="15"/>
      <c r="T19" s="15"/>
      <c r="U19" s="15"/>
      <c r="V19" s="15"/>
      <c r="W19" s="15"/>
      <c r="X19" s="15"/>
      <c r="Y19" s="15"/>
      <c r="Z19" s="15"/>
      <c r="AA19" s="7"/>
    </row>
    <row r="20">
      <c r="A20" s="21">
        <v>18.0</v>
      </c>
      <c r="B20" s="11" t="s">
        <v>44</v>
      </c>
      <c r="C20" s="22">
        <v>158144.69</v>
      </c>
      <c r="D20" s="22">
        <v>235200.02000000002</v>
      </c>
      <c r="E20" s="23">
        <v>235319.0</v>
      </c>
      <c r="F20" s="22">
        <v>221156.0</v>
      </c>
      <c r="G20" s="22">
        <v>170750.31</v>
      </c>
      <c r="H20" s="22">
        <v>204060.15000000002</v>
      </c>
      <c r="I20" s="22">
        <v>185069.57</v>
      </c>
      <c r="J20" s="22">
        <v>274872.54000000004</v>
      </c>
      <c r="K20" s="22">
        <v>166656.66999999998</v>
      </c>
      <c r="L20" s="22">
        <v>200180.77000000002</v>
      </c>
      <c r="M20" s="22">
        <v>188789.24</v>
      </c>
      <c r="N20" s="22">
        <v>188276.30000000005</v>
      </c>
      <c r="O20" s="14">
        <v>250955.87</v>
      </c>
      <c r="P20" s="14">
        <v>209984.30000000005</v>
      </c>
      <c r="Q20" s="14">
        <v>264596.4</v>
      </c>
      <c r="R20" s="15"/>
      <c r="S20" s="15"/>
      <c r="T20" s="15"/>
      <c r="U20" s="15"/>
      <c r="V20" s="15"/>
      <c r="W20" s="15"/>
      <c r="X20" s="15"/>
      <c r="Y20" s="15"/>
      <c r="Z20" s="15"/>
      <c r="AA20" s="7"/>
    </row>
    <row r="21">
      <c r="A21" s="21">
        <v>19.0</v>
      </c>
      <c r="B21" s="11" t="s">
        <v>45</v>
      </c>
      <c r="C21" s="22">
        <v>35530.0</v>
      </c>
      <c r="D21" s="22">
        <v>41262.0</v>
      </c>
      <c r="E21" s="23">
        <v>16109.0</v>
      </c>
      <c r="F21" s="22">
        <v>24063.0</v>
      </c>
      <c r="G21" s="22">
        <v>19341.0</v>
      </c>
      <c r="H21" s="22">
        <v>26758.0</v>
      </c>
      <c r="I21" s="22">
        <v>27957.54</v>
      </c>
      <c r="J21" s="22">
        <v>34399.96</v>
      </c>
      <c r="K21" s="22">
        <v>37001.17</v>
      </c>
      <c r="L21" s="22">
        <v>46645.0</v>
      </c>
      <c r="M21" s="22">
        <v>39218.49</v>
      </c>
      <c r="N21" s="22">
        <v>28706.11</v>
      </c>
      <c r="O21" s="14">
        <v>38004.85</v>
      </c>
      <c r="P21" s="14">
        <v>28066.53</v>
      </c>
      <c r="Q21" s="14">
        <v>36133.39</v>
      </c>
      <c r="R21" s="15"/>
      <c r="S21" s="15"/>
      <c r="T21" s="15"/>
      <c r="U21" s="15"/>
      <c r="V21" s="15"/>
      <c r="W21" s="15"/>
      <c r="X21" s="15"/>
      <c r="Y21" s="15"/>
      <c r="Z21" s="15"/>
      <c r="AA21" s="7"/>
    </row>
    <row r="22">
      <c r="A22" s="21">
        <v>20.0</v>
      </c>
      <c r="B22" s="11" t="s">
        <v>46</v>
      </c>
      <c r="C22" s="22">
        <v>129575.0</v>
      </c>
      <c r="D22" s="22">
        <v>177169.0</v>
      </c>
      <c r="E22" s="23">
        <v>196307.0</v>
      </c>
      <c r="F22" s="22">
        <v>217039.0</v>
      </c>
      <c r="G22" s="22">
        <v>159275.0</v>
      </c>
      <c r="H22" s="22">
        <v>221473.0</v>
      </c>
      <c r="I22" s="22">
        <v>216384.0</v>
      </c>
      <c r="J22" s="22">
        <v>231011.0</v>
      </c>
      <c r="K22" s="22">
        <v>218001.0</v>
      </c>
      <c r="L22" s="22">
        <v>188582.0</v>
      </c>
      <c r="M22" s="22">
        <v>181415.0</v>
      </c>
      <c r="N22" s="22">
        <v>210588.0</v>
      </c>
      <c r="O22" s="14">
        <v>250927.0</v>
      </c>
      <c r="P22" s="14">
        <v>237047.0</v>
      </c>
      <c r="Q22" s="14">
        <v>220483.0</v>
      </c>
      <c r="R22" s="15"/>
      <c r="S22" s="15"/>
      <c r="T22" s="15"/>
      <c r="U22" s="15"/>
      <c r="V22" s="15"/>
      <c r="W22" s="15"/>
      <c r="X22" s="15"/>
      <c r="Y22" s="15"/>
      <c r="Z22" s="15"/>
      <c r="AA22" s="7"/>
    </row>
    <row r="23">
      <c r="A23" s="21">
        <v>21.0</v>
      </c>
      <c r="B23" s="11" t="s">
        <v>47</v>
      </c>
      <c r="C23" s="22">
        <v>773367.69</v>
      </c>
      <c r="D23" s="22">
        <v>743097.0</v>
      </c>
      <c r="E23" s="23">
        <v>319120.0</v>
      </c>
      <c r="F23" s="22">
        <v>572079.0</v>
      </c>
      <c r="G23" s="22">
        <v>700730.0</v>
      </c>
      <c r="H23" s="22">
        <v>726001.0</v>
      </c>
      <c r="I23" s="22">
        <v>792743.0</v>
      </c>
      <c r="J23" s="22">
        <v>784294.0</v>
      </c>
      <c r="K23" s="22">
        <v>760013.0</v>
      </c>
      <c r="L23" s="22">
        <v>714164.0</v>
      </c>
      <c r="M23" s="22">
        <v>789386.0</v>
      </c>
      <c r="N23" s="22">
        <v>776292.0</v>
      </c>
      <c r="O23" s="14">
        <v>870812.0</v>
      </c>
      <c r="P23" s="14">
        <v>797821.0</v>
      </c>
      <c r="Q23" s="14">
        <v>744241.0</v>
      </c>
      <c r="R23" s="15"/>
      <c r="S23" s="15"/>
      <c r="T23" s="15"/>
      <c r="U23" s="15"/>
      <c r="V23" s="15"/>
      <c r="W23" s="15"/>
      <c r="X23" s="15"/>
      <c r="Y23" s="15"/>
      <c r="Z23" s="15"/>
      <c r="AA23" s="7"/>
    </row>
    <row r="24">
      <c r="A24" s="21">
        <v>22.0</v>
      </c>
      <c r="B24" s="11" t="s">
        <v>48</v>
      </c>
      <c r="C24" s="22">
        <v>224574.0</v>
      </c>
      <c r="D24" s="22">
        <v>183220.0</v>
      </c>
      <c r="E24" s="23">
        <v>176212.0</v>
      </c>
      <c r="F24" s="22">
        <v>158749.0</v>
      </c>
      <c r="G24" s="22">
        <v>110198.0</v>
      </c>
      <c r="H24" s="22">
        <v>176836.0</v>
      </c>
      <c r="I24" s="22">
        <v>173034.0</v>
      </c>
      <c r="J24" s="22">
        <v>173427.0</v>
      </c>
      <c r="K24" s="22">
        <v>147858.0</v>
      </c>
      <c r="L24" s="22">
        <v>172810.0</v>
      </c>
      <c r="M24" s="22">
        <v>165792.0</v>
      </c>
      <c r="N24" s="22">
        <v>156321.0</v>
      </c>
      <c r="O24" s="14">
        <v>188142.0</v>
      </c>
      <c r="P24" s="14">
        <v>169272.0</v>
      </c>
      <c r="Q24" s="14">
        <v>185920.0</v>
      </c>
      <c r="R24" s="15"/>
      <c r="S24" s="15"/>
      <c r="T24" s="15"/>
      <c r="U24" s="15"/>
      <c r="V24" s="15"/>
      <c r="W24" s="15"/>
      <c r="X24" s="15"/>
      <c r="Y24" s="15"/>
      <c r="Z24" s="15"/>
      <c r="AA24" s="7"/>
    </row>
    <row r="25">
      <c r="A25" s="21">
        <v>23.0</v>
      </c>
      <c r="B25" s="11" t="s">
        <v>49</v>
      </c>
      <c r="C25" s="25">
        <f t="shared" ref="C25:T25" si="1">sum(C3:C24)</f>
        <v>11188922.01</v>
      </c>
      <c r="D25" s="25">
        <f t="shared" si="1"/>
        <v>10600814.2</v>
      </c>
      <c r="E25" s="23">
        <f t="shared" si="1"/>
        <v>10620456</v>
      </c>
      <c r="F25" s="25">
        <f t="shared" si="1"/>
        <v>10916009.11</v>
      </c>
      <c r="G25" s="25">
        <f t="shared" si="1"/>
        <v>10033898.45</v>
      </c>
      <c r="H25" s="25">
        <f t="shared" si="1"/>
        <v>10576507.87</v>
      </c>
      <c r="I25" s="25">
        <f t="shared" si="1"/>
        <v>11026631.91</v>
      </c>
      <c r="J25" s="25">
        <f t="shared" si="1"/>
        <v>11718881.28</v>
      </c>
      <c r="K25" s="25">
        <f t="shared" si="1"/>
        <v>11000964.58</v>
      </c>
      <c r="L25" s="25">
        <f t="shared" si="1"/>
        <v>11213234.15</v>
      </c>
      <c r="M25" s="25">
        <f t="shared" si="1"/>
        <v>10637615.95</v>
      </c>
      <c r="N25" s="25">
        <f t="shared" si="1"/>
        <v>9978489.22</v>
      </c>
      <c r="O25" s="25">
        <f t="shared" si="1"/>
        <v>12083278.5</v>
      </c>
      <c r="P25" s="25">
        <f t="shared" si="1"/>
        <v>10873217.44</v>
      </c>
      <c r="Q25" s="25">
        <f t="shared" si="1"/>
        <v>12273693.19</v>
      </c>
      <c r="R25" s="25">
        <f t="shared" si="1"/>
        <v>0</v>
      </c>
      <c r="S25" s="11">
        <f t="shared" si="1"/>
        <v>0</v>
      </c>
      <c r="T25" s="11">
        <f t="shared" si="1"/>
        <v>0</v>
      </c>
      <c r="U25" s="15"/>
      <c r="V25" s="15"/>
      <c r="W25" s="15"/>
      <c r="X25" s="15"/>
      <c r="Y25" s="15"/>
      <c r="Z25" s="15"/>
      <c r="AA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13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</row>
    <row r="27">
      <c r="A27" s="7"/>
      <c r="B27" s="7"/>
      <c r="L27" s="7"/>
      <c r="M27" s="7"/>
      <c r="W27" s="7"/>
      <c r="X27" s="7"/>
      <c r="Y27" s="7"/>
      <c r="Z27" s="7"/>
      <c r="AA27" s="7"/>
    </row>
    <row r="28">
      <c r="A28" s="7"/>
      <c r="L28" s="7"/>
      <c r="W28" s="7"/>
      <c r="X28" s="7"/>
      <c r="Y28" s="7"/>
      <c r="Z28" s="7"/>
      <c r="AA28" s="7"/>
    </row>
    <row r="29">
      <c r="A29" s="7"/>
      <c r="L29" s="7"/>
      <c r="W29" s="7"/>
      <c r="X29" s="7"/>
      <c r="Y29" s="7"/>
      <c r="Z29" s="7"/>
      <c r="AA29" s="7"/>
    </row>
    <row r="30">
      <c r="A30" s="7"/>
      <c r="L30" s="7"/>
      <c r="W30" s="7"/>
      <c r="X30" s="7"/>
      <c r="Y30" s="7"/>
      <c r="Z30" s="7"/>
      <c r="AA30" s="7"/>
    </row>
    <row r="31">
      <c r="A31" s="7"/>
      <c r="L31" s="7"/>
      <c r="W31" s="7"/>
      <c r="X31" s="7"/>
      <c r="Y31" s="7"/>
      <c r="Z31" s="7"/>
      <c r="AA31" s="7"/>
    </row>
    <row r="32">
      <c r="A32" s="7"/>
      <c r="L32" s="7"/>
      <c r="W32" s="7"/>
      <c r="X32" s="7"/>
      <c r="Y32" s="7"/>
      <c r="Z32" s="7"/>
      <c r="AA32" s="7"/>
    </row>
    <row r="33">
      <c r="A33" s="7"/>
      <c r="L33" s="7"/>
      <c r="W33" s="7"/>
      <c r="X33" s="7"/>
      <c r="Y33" s="7"/>
      <c r="Z33" s="7"/>
      <c r="AA33" s="7"/>
    </row>
    <row r="34">
      <c r="A34" s="7"/>
      <c r="L34" s="7"/>
      <c r="W34" s="7"/>
      <c r="X34" s="7"/>
      <c r="Y34" s="7"/>
      <c r="Z34" s="7"/>
      <c r="AA34" s="7"/>
    </row>
    <row r="35">
      <c r="A35" s="7"/>
      <c r="L35" s="7"/>
      <c r="W35" s="7"/>
      <c r="X35" s="7"/>
      <c r="Y35" s="7"/>
      <c r="Z35" s="7"/>
      <c r="AA35" s="7"/>
    </row>
    <row r="36">
      <c r="A36" s="7"/>
      <c r="L36" s="7"/>
      <c r="W36" s="7"/>
      <c r="X36" s="7"/>
      <c r="Y36" s="7"/>
      <c r="Z36" s="7"/>
      <c r="AA36" s="7"/>
    </row>
    <row r="37">
      <c r="A37" s="7"/>
      <c r="L37" s="7"/>
      <c r="W37" s="7"/>
      <c r="X37" s="7"/>
      <c r="Y37" s="7"/>
      <c r="Z37" s="7"/>
      <c r="AA37" s="7"/>
    </row>
    <row r="38">
      <c r="A38" s="7"/>
      <c r="L38" s="7"/>
      <c r="W38" s="7"/>
      <c r="X38" s="7"/>
      <c r="Y38" s="7"/>
      <c r="Z38" s="7"/>
      <c r="AA38" s="7"/>
    </row>
    <row r="39">
      <c r="A39" s="7"/>
      <c r="L39" s="7"/>
      <c r="W39" s="7"/>
      <c r="X39" s="7"/>
      <c r="Y39" s="7"/>
      <c r="Z39" s="7"/>
      <c r="AA39" s="7"/>
    </row>
    <row r="40">
      <c r="A40" s="7"/>
      <c r="L40" s="7"/>
      <c r="W40" s="7"/>
      <c r="X40" s="7"/>
      <c r="Y40" s="7"/>
      <c r="Z40" s="7"/>
      <c r="AA40" s="7"/>
    </row>
    <row r="41">
      <c r="A41" s="7"/>
      <c r="L41" s="7"/>
      <c r="W41" s="7"/>
      <c r="X41" s="7"/>
      <c r="Y41" s="7"/>
      <c r="Z41" s="7"/>
      <c r="AA41" s="7"/>
    </row>
    <row r="42">
      <c r="A42" s="7"/>
      <c r="L42" s="7"/>
      <c r="W42" s="7"/>
      <c r="X42" s="7"/>
      <c r="Y42" s="7"/>
      <c r="Z42" s="7"/>
      <c r="AA42" s="7"/>
    </row>
    <row r="43">
      <c r="A43" s="7"/>
      <c r="L43" s="7"/>
      <c r="W43" s="7"/>
      <c r="X43" s="7"/>
      <c r="Y43" s="7"/>
      <c r="Z43" s="7"/>
      <c r="AA43" s="7"/>
    </row>
    <row r="44">
      <c r="A44" s="7"/>
      <c r="L44" s="7"/>
      <c r="W44" s="7"/>
      <c r="X44" s="7"/>
      <c r="Y44" s="7"/>
      <c r="Z44" s="7"/>
      <c r="AA44" s="7"/>
    </row>
    <row r="45">
      <c r="A45" s="7"/>
      <c r="L45" s="7"/>
      <c r="W45" s="7"/>
      <c r="X45" s="7"/>
      <c r="Y45" s="7"/>
      <c r="Z45" s="7"/>
      <c r="AA45" s="7"/>
    </row>
    <row r="46">
      <c r="A46" s="7"/>
      <c r="L46" s="7"/>
      <c r="W46" s="7"/>
      <c r="X46" s="7"/>
      <c r="Y46" s="7"/>
      <c r="Z46" s="7"/>
      <c r="AA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</row>
    <row r="48">
      <c r="A48" s="7"/>
      <c r="B48" s="7"/>
      <c r="L48" s="7"/>
      <c r="M48" s="7"/>
      <c r="W48" s="7"/>
      <c r="X48" s="7"/>
      <c r="Y48" s="7"/>
      <c r="Z48" s="7"/>
      <c r="AA48" s="7"/>
    </row>
    <row r="49">
      <c r="A49" s="7"/>
      <c r="L49" s="7"/>
      <c r="W49" s="7"/>
      <c r="X49" s="7"/>
      <c r="Y49" s="7"/>
      <c r="Z49" s="7"/>
      <c r="AA49" s="7"/>
    </row>
    <row r="50">
      <c r="A50" s="7"/>
      <c r="L50" s="7"/>
      <c r="W50" s="7"/>
      <c r="X50" s="7"/>
      <c r="Y50" s="7"/>
      <c r="Z50" s="7"/>
      <c r="AA50" s="7"/>
    </row>
    <row r="51">
      <c r="A51" s="7"/>
      <c r="L51" s="7"/>
      <c r="W51" s="7"/>
      <c r="X51" s="7"/>
      <c r="Y51" s="7"/>
      <c r="Z51" s="7"/>
      <c r="AA51" s="7"/>
    </row>
    <row r="52">
      <c r="A52" s="7"/>
      <c r="L52" s="7"/>
      <c r="W52" s="7"/>
      <c r="X52" s="7"/>
      <c r="Y52" s="7"/>
      <c r="Z52" s="7"/>
      <c r="AA52" s="7"/>
    </row>
    <row r="53">
      <c r="A53" s="7"/>
      <c r="L53" s="7"/>
      <c r="W53" s="7"/>
      <c r="X53" s="7"/>
      <c r="Y53" s="7"/>
      <c r="Z53" s="7"/>
      <c r="AA53" s="7"/>
    </row>
    <row r="54">
      <c r="A54" s="7"/>
      <c r="L54" s="7"/>
      <c r="W54" s="7"/>
      <c r="X54" s="7"/>
      <c r="Y54" s="7"/>
      <c r="Z54" s="7"/>
      <c r="AA54" s="7"/>
    </row>
    <row r="55">
      <c r="A55" s="7"/>
      <c r="L55" s="7"/>
      <c r="W55" s="7"/>
      <c r="X55" s="7"/>
      <c r="Y55" s="7"/>
      <c r="Z55" s="7"/>
      <c r="AA55" s="7"/>
    </row>
    <row r="56">
      <c r="A56" s="7"/>
      <c r="L56" s="7"/>
      <c r="W56" s="7"/>
      <c r="X56" s="7"/>
      <c r="Y56" s="7"/>
      <c r="Z56" s="7"/>
      <c r="AA56" s="7"/>
    </row>
    <row r="57">
      <c r="A57" s="7"/>
      <c r="L57" s="7"/>
      <c r="W57" s="7"/>
      <c r="X57" s="7"/>
      <c r="Y57" s="7"/>
      <c r="Z57" s="7"/>
      <c r="AA57" s="7"/>
    </row>
    <row r="58">
      <c r="A58" s="7"/>
      <c r="L58" s="7"/>
      <c r="W58" s="7"/>
      <c r="X58" s="7"/>
      <c r="Y58" s="7"/>
      <c r="Z58" s="7"/>
      <c r="AA58" s="7"/>
    </row>
    <row r="59">
      <c r="A59" s="7"/>
      <c r="L59" s="7"/>
      <c r="W59" s="7"/>
      <c r="X59" s="7"/>
      <c r="Y59" s="7"/>
      <c r="Z59" s="7"/>
      <c r="AA59" s="7"/>
    </row>
    <row r="60">
      <c r="A60" s="7"/>
      <c r="L60" s="7"/>
      <c r="W60" s="7"/>
      <c r="X60" s="7"/>
      <c r="Y60" s="7"/>
      <c r="Z60" s="7"/>
      <c r="AA60" s="7"/>
    </row>
    <row r="61">
      <c r="A61" s="7"/>
      <c r="L61" s="7"/>
      <c r="W61" s="7"/>
      <c r="X61" s="7"/>
      <c r="Y61" s="7"/>
      <c r="Z61" s="7"/>
      <c r="AA61" s="7"/>
    </row>
    <row r="62">
      <c r="A62" s="7"/>
      <c r="L62" s="7"/>
      <c r="W62" s="7"/>
      <c r="X62" s="7"/>
      <c r="Y62" s="7"/>
      <c r="Z62" s="7"/>
      <c r="AA62" s="7"/>
    </row>
    <row r="63">
      <c r="A63" s="7"/>
      <c r="L63" s="7"/>
      <c r="W63" s="7"/>
      <c r="X63" s="7"/>
      <c r="Y63" s="7"/>
      <c r="Z63" s="7"/>
      <c r="AA63" s="7"/>
    </row>
    <row r="64">
      <c r="A64" s="7"/>
      <c r="L64" s="7"/>
      <c r="W64" s="7"/>
      <c r="X64" s="7"/>
      <c r="Y64" s="7"/>
      <c r="Z64" s="7"/>
      <c r="AA64" s="7"/>
    </row>
    <row r="65">
      <c r="A65" s="7"/>
      <c r="L65" s="7"/>
      <c r="W65" s="7"/>
      <c r="X65" s="7"/>
      <c r="Y65" s="7"/>
      <c r="Z65" s="7"/>
      <c r="AA65" s="7"/>
    </row>
    <row r="66">
      <c r="A66" s="7"/>
      <c r="L66" s="7"/>
      <c r="W66" s="7"/>
      <c r="X66" s="7"/>
      <c r="Y66" s="7"/>
      <c r="Z66" s="7"/>
      <c r="AA66" s="7"/>
    </row>
    <row r="67">
      <c r="A67" s="7"/>
      <c r="L67" s="7"/>
      <c r="W67" s="7"/>
      <c r="X67" s="7"/>
      <c r="Y67" s="7"/>
      <c r="Z67" s="7"/>
      <c r="AA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>
      <c r="A69" s="10" t="s">
        <v>50</v>
      </c>
      <c r="B69" s="10" t="s">
        <v>3</v>
      </c>
      <c r="C69" s="10" t="s">
        <v>4</v>
      </c>
      <c r="D69" s="10" t="s">
        <v>5</v>
      </c>
      <c r="E69" s="10" t="s">
        <v>6</v>
      </c>
      <c r="F69" s="10" t="s">
        <v>7</v>
      </c>
      <c r="G69" s="10" t="s">
        <v>8</v>
      </c>
      <c r="H69" s="10" t="s">
        <v>9</v>
      </c>
      <c r="I69" s="10" t="s">
        <v>10</v>
      </c>
      <c r="J69" s="10" t="s">
        <v>11</v>
      </c>
      <c r="K69" s="10" t="s">
        <v>12</v>
      </c>
      <c r="L69" s="10" t="s">
        <v>13</v>
      </c>
      <c r="M69" s="10" t="s">
        <v>14</v>
      </c>
      <c r="N69" s="11" t="s">
        <v>15</v>
      </c>
      <c r="O69" s="11" t="s">
        <v>16</v>
      </c>
      <c r="P69" s="11" t="s">
        <v>17</v>
      </c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>
      <c r="A70" s="15" t="s">
        <v>49</v>
      </c>
      <c r="B70" s="24">
        <v>1.1188922009999998E7</v>
      </c>
      <c r="C70" s="24">
        <v>1.06008142E7</v>
      </c>
      <c r="D70" s="26">
        <v>1.0620456E7</v>
      </c>
      <c r="E70" s="24">
        <v>1.0916009110000001E7</v>
      </c>
      <c r="F70" s="24">
        <v>1.003389845E7</v>
      </c>
      <c r="G70" s="24">
        <v>1.0576507870000001E7</v>
      </c>
      <c r="H70" s="24">
        <v>1.1026631909999996E7</v>
      </c>
      <c r="I70" s="24">
        <v>1.1718881280000001E7</v>
      </c>
      <c r="J70" s="24">
        <v>1.100096458E7</v>
      </c>
      <c r="K70" s="24">
        <v>1.1213234150000002E7</v>
      </c>
      <c r="L70" s="24">
        <v>1.063761595E7</v>
      </c>
      <c r="M70" s="24">
        <v>9978489.22</v>
      </c>
      <c r="N70" s="24">
        <v>1.20832785E7</v>
      </c>
      <c r="O70" s="24">
        <v>1.087321744E7</v>
      </c>
      <c r="P70" s="24">
        <v>1.2273693190000001E7</v>
      </c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</row>
  </sheetData>
  <mergeCells count="6">
    <mergeCell ref="C1:N1"/>
    <mergeCell ref="O1:Z1"/>
    <mergeCell ref="B27:K46"/>
    <mergeCell ref="M27:V46"/>
    <mergeCell ref="B48:K67"/>
    <mergeCell ref="M48:V6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1.22" defaultRowHeight="15.75"/>
  <cols>
    <col customWidth="1" min="1" max="1" width="4.44"/>
    <col customWidth="1" min="3" max="3" width="13.89"/>
    <col customWidth="1" min="4" max="4" width="17.11"/>
    <col customWidth="1" min="5" max="5" width="15.33"/>
    <col customWidth="1" min="6" max="7" width="17.67"/>
    <col customWidth="1" min="9" max="9" width="25.44"/>
    <col customWidth="1" min="10" max="10" width="23.11"/>
    <col customWidth="1" min="11" max="11" width="16.0"/>
    <col customWidth="1" min="13" max="13" width="14.67"/>
  </cols>
  <sheetData>
    <row r="1" ht="27.75" customHeight="1">
      <c r="A1" s="27" t="s">
        <v>51</v>
      </c>
      <c r="J1" s="28"/>
      <c r="K1" s="28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</row>
    <row r="2">
      <c r="A2" s="30" t="s">
        <v>52</v>
      </c>
      <c r="B2" s="30" t="s">
        <v>53</v>
      </c>
      <c r="C2" s="31" t="s">
        <v>54</v>
      </c>
      <c r="D2" s="31" t="s">
        <v>55</v>
      </c>
      <c r="E2" s="31" t="s">
        <v>56</v>
      </c>
      <c r="F2" s="31" t="s">
        <v>57</v>
      </c>
      <c r="G2" s="32" t="s">
        <v>58</v>
      </c>
      <c r="H2" s="5"/>
      <c r="I2" s="33" t="s">
        <v>59</v>
      </c>
      <c r="J2" s="33" t="s">
        <v>60</v>
      </c>
      <c r="K2" s="33" t="s">
        <v>61</v>
      </c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</row>
    <row r="3">
      <c r="A3" s="34"/>
      <c r="B3" s="34"/>
      <c r="C3" s="31" t="s">
        <v>62</v>
      </c>
      <c r="D3" s="31" t="s">
        <v>62</v>
      </c>
      <c r="E3" s="31" t="s">
        <v>62</v>
      </c>
      <c r="F3" s="31" t="s">
        <v>62</v>
      </c>
      <c r="G3" s="31" t="s">
        <v>63</v>
      </c>
      <c r="H3" s="31" t="s">
        <v>64</v>
      </c>
      <c r="I3" s="34"/>
      <c r="J3" s="34"/>
      <c r="K3" s="34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</row>
    <row r="4">
      <c r="A4" s="35">
        <f t="array" ref="A4:A25">SEQUENCE(22,1)</f>
        <v>1</v>
      </c>
      <c r="B4" s="36" t="s">
        <v>27</v>
      </c>
      <c r="C4" s="37">
        <v>4045731.25</v>
      </c>
      <c r="D4" s="37">
        <v>5047852.0</v>
      </c>
      <c r="E4" s="38">
        <v>3802379.0</v>
      </c>
      <c r="F4" s="37">
        <v>74669.87</v>
      </c>
      <c r="G4" s="37">
        <f t="shared" ref="G4:G25" si="1">D4-E4-F4</f>
        <v>1170803.13</v>
      </c>
      <c r="H4" s="39">
        <f t="shared" ref="H4:H26" si="2">(G4/D4)*100</f>
        <v>23.19408592</v>
      </c>
      <c r="I4" s="35"/>
      <c r="J4" s="35" t="s">
        <v>65</v>
      </c>
      <c r="K4" s="40" t="s">
        <v>66</v>
      </c>
      <c r="L4" s="29"/>
      <c r="M4" s="29">
        <f t="shared" ref="M4:M26" si="3">D4/31/24</f>
        <v>6784.747312</v>
      </c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</row>
    <row r="5">
      <c r="A5" s="35">
        <v>2.0</v>
      </c>
      <c r="B5" s="36" t="s">
        <v>28</v>
      </c>
      <c r="C5" s="38">
        <v>6517693.0</v>
      </c>
      <c r="D5" s="38">
        <v>6303346.46</v>
      </c>
      <c r="E5" s="38">
        <v>4425474.0</v>
      </c>
      <c r="F5" s="41">
        <v>397157.13</v>
      </c>
      <c r="G5" s="37">
        <f t="shared" si="1"/>
        <v>1480715.33</v>
      </c>
      <c r="H5" s="39">
        <f t="shared" si="2"/>
        <v>23.49093992</v>
      </c>
      <c r="I5" s="35"/>
      <c r="J5" s="42" t="s">
        <v>67</v>
      </c>
      <c r="K5" s="43" t="s">
        <v>68</v>
      </c>
      <c r="L5" s="29"/>
      <c r="M5" s="29">
        <f t="shared" si="3"/>
        <v>8472.239866</v>
      </c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</row>
    <row r="6">
      <c r="A6" s="35">
        <v>3.0</v>
      </c>
      <c r="B6" s="36" t="s">
        <v>29</v>
      </c>
      <c r="C6" s="38">
        <v>2868881.02</v>
      </c>
      <c r="D6" s="38">
        <v>1952897.5</v>
      </c>
      <c r="E6" s="38">
        <v>1282967.0</v>
      </c>
      <c r="F6" s="38">
        <v>69655.49</v>
      </c>
      <c r="G6" s="37">
        <f t="shared" si="1"/>
        <v>600275.01</v>
      </c>
      <c r="H6" s="39">
        <f t="shared" si="2"/>
        <v>30.73766083</v>
      </c>
      <c r="I6" s="35"/>
      <c r="J6" s="35"/>
      <c r="K6" s="40"/>
      <c r="L6" s="29"/>
      <c r="M6" s="29">
        <f t="shared" si="3"/>
        <v>2624.862231</v>
      </c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</row>
    <row r="7">
      <c r="A7" s="35">
        <v>4.0</v>
      </c>
      <c r="B7" s="36" t="s">
        <v>30</v>
      </c>
      <c r="C7" s="38">
        <v>2654800.0</v>
      </c>
      <c r="D7" s="38">
        <v>2377215.0</v>
      </c>
      <c r="E7" s="38">
        <v>1701438.0</v>
      </c>
      <c r="F7" s="38">
        <v>66822.0</v>
      </c>
      <c r="G7" s="37">
        <f t="shared" si="1"/>
        <v>608955</v>
      </c>
      <c r="H7" s="39">
        <f t="shared" si="2"/>
        <v>25.61631994</v>
      </c>
      <c r="I7" s="35"/>
      <c r="J7" s="42" t="s">
        <v>69</v>
      </c>
      <c r="K7" s="43" t="s">
        <v>70</v>
      </c>
      <c r="L7" s="29"/>
      <c r="M7" s="29">
        <f t="shared" si="3"/>
        <v>3195.181452</v>
      </c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</row>
    <row r="8">
      <c r="A8" s="35">
        <v>5.0</v>
      </c>
      <c r="B8" s="36" t="s">
        <v>31</v>
      </c>
      <c r="C8" s="38">
        <v>2382265.0</v>
      </c>
      <c r="D8" s="38">
        <v>2632872.02</v>
      </c>
      <c r="E8" s="38">
        <v>1488023.0</v>
      </c>
      <c r="F8" s="41">
        <f>210500</f>
        <v>210500</v>
      </c>
      <c r="G8" s="37">
        <f t="shared" si="1"/>
        <v>934349.02</v>
      </c>
      <c r="H8" s="39">
        <f t="shared" si="2"/>
        <v>35.48782519</v>
      </c>
      <c r="I8" s="35"/>
      <c r="J8" s="42" t="s">
        <v>71</v>
      </c>
      <c r="K8" s="43">
        <v>6.43963619E8</v>
      </c>
      <c r="L8" s="29"/>
      <c r="M8" s="29">
        <f t="shared" si="3"/>
        <v>3538.806478</v>
      </c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</row>
    <row r="9">
      <c r="A9" s="35">
        <v>6.0</v>
      </c>
      <c r="B9" s="36" t="s">
        <v>32</v>
      </c>
      <c r="C9" s="38">
        <v>2962242.0</v>
      </c>
      <c r="D9" s="38">
        <v>2836712.0</v>
      </c>
      <c r="E9" s="38">
        <v>1971000.0</v>
      </c>
      <c r="F9" s="38">
        <v>60156.0</v>
      </c>
      <c r="G9" s="37">
        <f t="shared" si="1"/>
        <v>805556</v>
      </c>
      <c r="H9" s="39">
        <f t="shared" si="2"/>
        <v>28.39752502</v>
      </c>
      <c r="I9" s="35"/>
      <c r="J9" s="42" t="s">
        <v>72</v>
      </c>
      <c r="K9" s="43" t="s">
        <v>73</v>
      </c>
      <c r="L9" s="29"/>
      <c r="M9" s="29">
        <f t="shared" si="3"/>
        <v>3812.784946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</row>
    <row r="10">
      <c r="A10" s="35">
        <v>7.0</v>
      </c>
      <c r="B10" s="36" t="s">
        <v>33</v>
      </c>
      <c r="C10" s="44">
        <v>1064049.3</v>
      </c>
      <c r="D10" s="44">
        <v>1054778.0</v>
      </c>
      <c r="E10" s="44">
        <f>870557+17872+32+20+347</f>
        <v>888828</v>
      </c>
      <c r="F10" s="44">
        <v>46500.0</v>
      </c>
      <c r="G10" s="37">
        <f t="shared" si="1"/>
        <v>119450</v>
      </c>
      <c r="H10" s="39">
        <f t="shared" si="2"/>
        <v>11.32465789</v>
      </c>
      <c r="I10" s="35"/>
      <c r="J10" s="42" t="s">
        <v>74</v>
      </c>
      <c r="K10" s="43" t="s">
        <v>75</v>
      </c>
      <c r="L10" s="29"/>
      <c r="M10" s="29">
        <f t="shared" si="3"/>
        <v>1417.712366</v>
      </c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</row>
    <row r="11">
      <c r="A11" s="35">
        <v>8.0</v>
      </c>
      <c r="B11" s="36" t="s">
        <v>34</v>
      </c>
      <c r="C11" s="38">
        <v>1375234.38</v>
      </c>
      <c r="D11" s="38">
        <v>1352550.0</v>
      </c>
      <c r="E11" s="38">
        <v>1128045.0</v>
      </c>
      <c r="F11" s="38">
        <v>42515.02</v>
      </c>
      <c r="G11" s="37">
        <f t="shared" si="1"/>
        <v>181989.98</v>
      </c>
      <c r="H11" s="39">
        <f t="shared" si="2"/>
        <v>13.45532365</v>
      </c>
      <c r="I11" s="35"/>
      <c r="J11" s="42" t="s">
        <v>76</v>
      </c>
      <c r="K11" s="43" t="s">
        <v>77</v>
      </c>
      <c r="L11" s="29"/>
      <c r="M11" s="29">
        <f t="shared" si="3"/>
        <v>1817.943548</v>
      </c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</row>
    <row r="12">
      <c r="A12" s="35">
        <v>9.0</v>
      </c>
      <c r="B12" s="36" t="s">
        <v>35</v>
      </c>
      <c r="C12" s="38">
        <v>3105426.0</v>
      </c>
      <c r="D12" s="38">
        <v>2824500.0</v>
      </c>
      <c r="E12" s="38">
        <v>1731577.0</v>
      </c>
      <c r="F12" s="41">
        <v>175950.0</v>
      </c>
      <c r="G12" s="37">
        <f t="shared" si="1"/>
        <v>916973</v>
      </c>
      <c r="H12" s="39">
        <f t="shared" si="2"/>
        <v>32.46496725</v>
      </c>
      <c r="I12" s="35"/>
      <c r="J12" s="42" t="s">
        <v>78</v>
      </c>
      <c r="K12" s="45" t="s">
        <v>79</v>
      </c>
      <c r="L12" s="29"/>
      <c r="M12" s="29">
        <f t="shared" si="3"/>
        <v>3796.370968</v>
      </c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</row>
    <row r="13">
      <c r="A13" s="35">
        <v>10.0</v>
      </c>
      <c r="B13" s="36" t="s">
        <v>36</v>
      </c>
      <c r="C13" s="37">
        <v>986356.6</v>
      </c>
      <c r="D13" s="46">
        <v>790180.0</v>
      </c>
      <c r="E13" s="37">
        <v>525905.0</v>
      </c>
      <c r="F13" s="44">
        <v>27046.0</v>
      </c>
      <c r="G13" s="37">
        <f t="shared" si="1"/>
        <v>237229</v>
      </c>
      <c r="H13" s="39">
        <f t="shared" si="2"/>
        <v>30.02214685</v>
      </c>
      <c r="I13" s="35"/>
      <c r="J13" s="35"/>
      <c r="K13" s="40"/>
      <c r="L13" s="29"/>
      <c r="M13" s="29">
        <f t="shared" si="3"/>
        <v>1062.069892</v>
      </c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</row>
    <row r="14">
      <c r="A14" s="35">
        <v>11.0</v>
      </c>
      <c r="B14" s="36" t="s">
        <v>37</v>
      </c>
      <c r="C14" s="38">
        <v>2053947.0</v>
      </c>
      <c r="D14" s="38">
        <v>1981451.0</v>
      </c>
      <c r="E14" s="38">
        <v>1573915.0</v>
      </c>
      <c r="F14" s="47">
        <v>88965.0</v>
      </c>
      <c r="G14" s="37">
        <f t="shared" si="1"/>
        <v>318571</v>
      </c>
      <c r="H14" s="39">
        <f t="shared" si="2"/>
        <v>16.07766228</v>
      </c>
      <c r="I14" s="35"/>
      <c r="J14" s="42" t="s">
        <v>80</v>
      </c>
      <c r="K14" s="43" t="s">
        <v>81</v>
      </c>
      <c r="L14" s="29"/>
      <c r="M14" s="29">
        <f t="shared" si="3"/>
        <v>2663.240591</v>
      </c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</row>
    <row r="15">
      <c r="A15" s="35">
        <v>12.0</v>
      </c>
      <c r="B15" s="36" t="s">
        <v>38</v>
      </c>
      <c r="C15" s="38">
        <v>3344490.0</v>
      </c>
      <c r="D15" s="38">
        <v>3242974.0</v>
      </c>
      <c r="E15" s="38">
        <v>2262585.0</v>
      </c>
      <c r="F15" s="41">
        <v>131653.0</v>
      </c>
      <c r="G15" s="37">
        <f t="shared" si="1"/>
        <v>848736</v>
      </c>
      <c r="H15" s="39">
        <f t="shared" si="2"/>
        <v>26.17153267</v>
      </c>
      <c r="I15" s="35"/>
      <c r="J15" s="42" t="s">
        <v>82</v>
      </c>
      <c r="K15" s="43" t="s">
        <v>83</v>
      </c>
      <c r="L15" s="29"/>
      <c r="M15" s="29">
        <f t="shared" si="3"/>
        <v>4358.836022</v>
      </c>
      <c r="N15" s="29"/>
      <c r="O15" s="29"/>
      <c r="P15" s="29"/>
      <c r="Q15" s="29"/>
      <c r="R15" s="29"/>
      <c r="S15" s="29"/>
      <c r="T15" s="29"/>
      <c r="U15" s="29"/>
      <c r="V15" s="29"/>
      <c r="W15" s="29"/>
      <c r="X15" s="29"/>
    </row>
    <row r="16">
      <c r="A16" s="35">
        <v>13.0</v>
      </c>
      <c r="B16" s="36" t="s">
        <v>39</v>
      </c>
      <c r="C16" s="38">
        <v>1050797.0</v>
      </c>
      <c r="D16" s="38">
        <v>852449.0</v>
      </c>
      <c r="E16" s="38">
        <v>406572.0</v>
      </c>
      <c r="F16" s="38">
        <v>17876.0</v>
      </c>
      <c r="G16" s="37">
        <f t="shared" si="1"/>
        <v>428001</v>
      </c>
      <c r="H16" s="39">
        <f t="shared" si="2"/>
        <v>50.20839956</v>
      </c>
      <c r="I16" s="35"/>
      <c r="J16" s="42" t="s">
        <v>84</v>
      </c>
      <c r="K16" s="40"/>
      <c r="L16" s="29"/>
      <c r="M16" s="29">
        <f t="shared" si="3"/>
        <v>1145.764785</v>
      </c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</row>
    <row r="17">
      <c r="A17" s="35">
        <v>14.0</v>
      </c>
      <c r="B17" s="36" t="s">
        <v>40</v>
      </c>
      <c r="C17" s="37">
        <v>2284323.0</v>
      </c>
      <c r="D17" s="37">
        <v>2012679.0</v>
      </c>
      <c r="E17" s="38">
        <v>1285024.0</v>
      </c>
      <c r="F17" s="37">
        <v>55149.0</v>
      </c>
      <c r="G17" s="37">
        <f t="shared" si="1"/>
        <v>672506</v>
      </c>
      <c r="H17" s="39">
        <f t="shared" si="2"/>
        <v>33.41347527</v>
      </c>
      <c r="I17" s="35"/>
      <c r="J17" s="40" t="s">
        <v>85</v>
      </c>
      <c r="K17" s="40" t="s">
        <v>86</v>
      </c>
      <c r="L17" s="29"/>
      <c r="M17" s="29">
        <f t="shared" si="3"/>
        <v>2705.21371</v>
      </c>
      <c r="N17" s="29"/>
      <c r="O17" s="29"/>
      <c r="P17" s="29"/>
      <c r="Q17" s="29"/>
      <c r="R17" s="29"/>
      <c r="S17" s="29"/>
      <c r="T17" s="29"/>
      <c r="U17" s="29"/>
      <c r="V17" s="29"/>
      <c r="W17" s="29"/>
      <c r="X17" s="29"/>
    </row>
    <row r="18">
      <c r="A18" s="35">
        <v>15.0</v>
      </c>
      <c r="B18" s="36" t="s">
        <v>41</v>
      </c>
      <c r="C18" s="38">
        <v>596361.89</v>
      </c>
      <c r="D18" s="38">
        <v>576657.0</v>
      </c>
      <c r="E18" s="38">
        <v>233970.0</v>
      </c>
      <c r="F18" s="38">
        <v>11400.69</v>
      </c>
      <c r="G18" s="37">
        <f t="shared" si="1"/>
        <v>331286.31</v>
      </c>
      <c r="H18" s="39">
        <f t="shared" si="2"/>
        <v>57.44945609</v>
      </c>
      <c r="I18" s="35"/>
      <c r="J18" s="42" t="s">
        <v>87</v>
      </c>
      <c r="K18" s="43" t="s">
        <v>88</v>
      </c>
      <c r="L18" s="29"/>
      <c r="M18" s="29">
        <f t="shared" si="3"/>
        <v>775.0766129</v>
      </c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</row>
    <row r="19">
      <c r="A19" s="35">
        <v>16.0</v>
      </c>
      <c r="B19" s="36" t="s">
        <v>42</v>
      </c>
      <c r="C19" s="38">
        <v>1644981.0</v>
      </c>
      <c r="D19" s="38">
        <v>1279169.0</v>
      </c>
      <c r="E19" s="38">
        <v>489725.0</v>
      </c>
      <c r="F19" s="38">
        <v>1693.0</v>
      </c>
      <c r="G19" s="37">
        <f t="shared" si="1"/>
        <v>787751</v>
      </c>
      <c r="H19" s="39">
        <f t="shared" si="2"/>
        <v>61.58302773</v>
      </c>
      <c r="I19" s="35"/>
      <c r="J19" s="42" t="s">
        <v>89</v>
      </c>
      <c r="K19" s="43" t="s">
        <v>90</v>
      </c>
      <c r="L19" s="29"/>
      <c r="M19" s="29">
        <f t="shared" si="3"/>
        <v>1719.313172</v>
      </c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</row>
    <row r="20">
      <c r="A20" s="35">
        <v>17.0</v>
      </c>
      <c r="B20" s="36" t="s">
        <v>43</v>
      </c>
      <c r="C20" s="38">
        <v>163232.0</v>
      </c>
      <c r="D20" s="38">
        <v>153416.0</v>
      </c>
      <c r="E20" s="38">
        <v>63425.0</v>
      </c>
      <c r="F20" s="38">
        <v>53.0</v>
      </c>
      <c r="G20" s="37">
        <f t="shared" si="1"/>
        <v>89938</v>
      </c>
      <c r="H20" s="39">
        <f t="shared" si="2"/>
        <v>58.62361162</v>
      </c>
      <c r="I20" s="35"/>
      <c r="J20" s="42" t="s">
        <v>91</v>
      </c>
      <c r="K20" s="43" t="s">
        <v>92</v>
      </c>
      <c r="L20" s="48">
        <v>49850.0</v>
      </c>
      <c r="M20" s="29">
        <f t="shared" si="3"/>
        <v>206.2043011</v>
      </c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</row>
    <row r="21">
      <c r="A21" s="35">
        <v>18.0</v>
      </c>
      <c r="B21" s="36" t="s">
        <v>44</v>
      </c>
      <c r="C21" s="38">
        <v>663582.85</v>
      </c>
      <c r="D21" s="38">
        <v>586321.87</v>
      </c>
      <c r="E21" s="38">
        <v>299556.0</v>
      </c>
      <c r="F21" s="38">
        <v>35810.0</v>
      </c>
      <c r="G21" s="37">
        <f t="shared" si="1"/>
        <v>250955.87</v>
      </c>
      <c r="H21" s="39">
        <f t="shared" si="2"/>
        <v>42.80172425</v>
      </c>
      <c r="I21" s="35"/>
      <c r="J21" s="42" t="s">
        <v>93</v>
      </c>
      <c r="K21" s="43">
        <v>9.92470958E8</v>
      </c>
      <c r="L21" s="29"/>
      <c r="M21" s="29">
        <f t="shared" si="3"/>
        <v>788.0670296</v>
      </c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</row>
    <row r="22">
      <c r="A22" s="35">
        <v>19.0</v>
      </c>
      <c r="B22" s="36" t="s">
        <v>45</v>
      </c>
      <c r="C22" s="38">
        <v>186039.0</v>
      </c>
      <c r="D22" s="38">
        <v>154079.0</v>
      </c>
      <c r="E22" s="38">
        <v>107984.0</v>
      </c>
      <c r="F22" s="38">
        <v>8090.15</v>
      </c>
      <c r="G22" s="37">
        <f t="shared" si="1"/>
        <v>38004.85</v>
      </c>
      <c r="H22" s="39">
        <f t="shared" si="2"/>
        <v>24.66582078</v>
      </c>
      <c r="I22" s="35"/>
      <c r="J22" s="49" t="s">
        <v>94</v>
      </c>
      <c r="K22" s="50" t="s">
        <v>95</v>
      </c>
      <c r="L22" s="29"/>
      <c r="M22" s="29">
        <f t="shared" si="3"/>
        <v>207.0954301</v>
      </c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</row>
    <row r="23">
      <c r="A23" s="35">
        <v>20.0</v>
      </c>
      <c r="B23" s="36" t="s">
        <v>46</v>
      </c>
      <c r="C23" s="38">
        <v>637247.0</v>
      </c>
      <c r="D23" s="37">
        <v>634818.0</v>
      </c>
      <c r="E23" s="37">
        <v>360337.0</v>
      </c>
      <c r="F23" s="38">
        <v>23554.0</v>
      </c>
      <c r="G23" s="37">
        <f t="shared" si="1"/>
        <v>250927</v>
      </c>
      <c r="H23" s="39">
        <f t="shared" si="2"/>
        <v>39.5273921</v>
      </c>
      <c r="I23" s="35"/>
      <c r="J23" s="42" t="s">
        <v>96</v>
      </c>
      <c r="K23" s="43" t="s">
        <v>97</v>
      </c>
      <c r="L23" s="29"/>
      <c r="M23" s="29">
        <f t="shared" si="3"/>
        <v>853.25</v>
      </c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</row>
    <row r="24">
      <c r="A24" s="35">
        <v>21.0</v>
      </c>
      <c r="B24" s="36" t="s">
        <v>47</v>
      </c>
      <c r="C24" s="38">
        <v>1726776.0</v>
      </c>
      <c r="D24" s="38">
        <v>1647287.0</v>
      </c>
      <c r="E24" s="38">
        <v>759325.0</v>
      </c>
      <c r="F24" s="38">
        <v>17150.0</v>
      </c>
      <c r="G24" s="37">
        <f t="shared" si="1"/>
        <v>870812</v>
      </c>
      <c r="H24" s="39">
        <f t="shared" si="2"/>
        <v>52.8634051</v>
      </c>
      <c r="I24" s="35"/>
      <c r="J24" s="42"/>
      <c r="K24" s="43"/>
      <c r="L24" s="29"/>
      <c r="M24" s="29">
        <f t="shared" si="3"/>
        <v>2214.09543</v>
      </c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</row>
    <row r="25">
      <c r="A25" s="35">
        <v>22.0</v>
      </c>
      <c r="B25" s="36" t="s">
        <v>48</v>
      </c>
      <c r="C25" s="38">
        <v>569141.0</v>
      </c>
      <c r="D25" s="38">
        <v>543555.0</v>
      </c>
      <c r="E25" s="38">
        <v>293413.0</v>
      </c>
      <c r="F25" s="38">
        <v>62000.0</v>
      </c>
      <c r="G25" s="37">
        <f t="shared" si="1"/>
        <v>188142</v>
      </c>
      <c r="H25" s="39">
        <f t="shared" si="2"/>
        <v>34.61324061</v>
      </c>
      <c r="I25" s="35"/>
      <c r="J25" s="42" t="s">
        <v>98</v>
      </c>
      <c r="K25" s="43" t="s">
        <v>99</v>
      </c>
      <c r="L25" s="29"/>
      <c r="M25" s="29">
        <f t="shared" si="3"/>
        <v>730.5846774</v>
      </c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</row>
    <row r="26">
      <c r="A26" s="51" t="s">
        <v>100</v>
      </c>
      <c r="B26" s="5"/>
      <c r="C26" s="52">
        <f>SUM(C4:C25)</f>
        <v>42883596.29</v>
      </c>
      <c r="D26" s="52">
        <f t="shared" ref="D26:G26" si="4">sum(D4:D25)</f>
        <v>40837758.85</v>
      </c>
      <c r="E26" s="52">
        <f t="shared" si="4"/>
        <v>27081467</v>
      </c>
      <c r="F26" s="52">
        <f t="shared" si="4"/>
        <v>1624365.35</v>
      </c>
      <c r="G26" s="52">
        <f t="shared" si="4"/>
        <v>12131926.5</v>
      </c>
      <c r="H26" s="53">
        <f t="shared" si="2"/>
        <v>29.7076207</v>
      </c>
      <c r="I26" s="29"/>
      <c r="J26" s="29"/>
      <c r="K26" s="54"/>
      <c r="L26" s="29"/>
      <c r="M26" s="29">
        <f t="shared" si="3"/>
        <v>54889.46082</v>
      </c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</row>
    <row r="27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54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</row>
    <row r="28">
      <c r="A28" s="29"/>
      <c r="B28" s="29"/>
      <c r="C28" s="29"/>
      <c r="D28" s="29"/>
      <c r="E28" s="29"/>
      <c r="F28" s="29"/>
      <c r="G28" s="29"/>
      <c r="H28" s="29"/>
      <c r="I28" s="29"/>
      <c r="J28" s="29"/>
      <c r="K28" s="54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</row>
    <row r="29">
      <c r="A29" s="29"/>
      <c r="B29" s="29"/>
      <c r="C29" s="29"/>
      <c r="D29" s="29"/>
      <c r="E29" s="29"/>
      <c r="F29" s="29"/>
      <c r="G29" s="29"/>
      <c r="H29" s="29"/>
      <c r="I29" s="29"/>
      <c r="J29" s="29"/>
      <c r="K29" s="54"/>
      <c r="L29" s="29"/>
      <c r="M29" s="29"/>
      <c r="N29" s="29"/>
      <c r="O29" s="29"/>
      <c r="P29" s="29"/>
      <c r="Q29" s="29"/>
      <c r="R29" s="29"/>
      <c r="S29" s="29"/>
      <c r="T29" s="29"/>
      <c r="U29" s="29"/>
      <c r="V29" s="29"/>
      <c r="W29" s="29"/>
      <c r="X29" s="29"/>
    </row>
    <row r="30">
      <c r="A30" s="29"/>
      <c r="B30" s="29"/>
      <c r="C30" s="29"/>
      <c r="D30" s="29"/>
      <c r="E30" s="29"/>
      <c r="F30" s="29"/>
      <c r="G30" s="29"/>
      <c r="H30" s="29"/>
      <c r="I30" s="29"/>
      <c r="J30" s="29"/>
      <c r="K30" s="54"/>
      <c r="L30" s="29"/>
      <c r="M30" s="29"/>
      <c r="N30" s="29"/>
      <c r="O30" s="29"/>
      <c r="P30" s="29"/>
      <c r="Q30" s="29"/>
      <c r="R30" s="29"/>
      <c r="S30" s="29"/>
      <c r="T30" s="29"/>
      <c r="U30" s="29"/>
      <c r="V30" s="29"/>
      <c r="W30" s="29"/>
      <c r="X30" s="29"/>
    </row>
    <row r="31">
      <c r="A31" s="29"/>
      <c r="B31" s="29"/>
      <c r="C31" s="29"/>
      <c r="D31" s="29"/>
      <c r="E31" s="29"/>
      <c r="F31" s="29"/>
      <c r="G31" s="29"/>
      <c r="H31" s="29"/>
      <c r="I31" s="29"/>
      <c r="J31" s="29"/>
      <c r="K31" s="54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</row>
    <row r="32">
      <c r="A32" s="29"/>
      <c r="B32" s="29"/>
      <c r="C32" s="29"/>
      <c r="D32" s="29"/>
      <c r="E32" s="55"/>
      <c r="F32" s="56"/>
      <c r="G32" s="55"/>
      <c r="H32" s="29"/>
      <c r="I32" s="29"/>
      <c r="J32" s="29"/>
      <c r="K32" s="54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</row>
    <row r="33">
      <c r="A33" s="29"/>
      <c r="B33" s="29"/>
      <c r="C33" s="29"/>
      <c r="D33" s="29"/>
      <c r="E33" s="29"/>
      <c r="F33" s="29"/>
      <c r="G33" s="29"/>
      <c r="H33" s="29"/>
      <c r="I33" s="29"/>
      <c r="J33" s="29"/>
      <c r="K33" s="54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</row>
    <row r="34">
      <c r="A34" s="29"/>
      <c r="B34" s="29"/>
      <c r="C34" s="29"/>
      <c r="D34" s="29"/>
      <c r="E34" s="29"/>
      <c r="F34" s="29"/>
      <c r="G34" s="29"/>
      <c r="H34" s="29"/>
      <c r="I34" s="29"/>
      <c r="J34" s="29"/>
      <c r="K34" s="54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</row>
    <row r="35">
      <c r="A35" s="29"/>
      <c r="B35" s="29"/>
      <c r="C35" s="29"/>
      <c r="D35" s="29"/>
      <c r="E35" s="29"/>
      <c r="F35" s="29"/>
      <c r="G35" s="29"/>
      <c r="H35" s="29"/>
      <c r="I35" s="29"/>
      <c r="J35" s="29"/>
      <c r="K35" s="54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</row>
    <row r="36">
      <c r="A36" s="29"/>
      <c r="B36" s="29"/>
      <c r="C36" s="29"/>
      <c r="D36" s="29"/>
      <c r="E36" s="29"/>
      <c r="F36" s="29"/>
      <c r="G36" s="29"/>
      <c r="H36" s="29"/>
      <c r="I36" s="29"/>
      <c r="J36" s="29"/>
      <c r="K36" s="54"/>
      <c r="L36" s="29"/>
      <c r="M36" s="29"/>
      <c r="N36" s="29"/>
      <c r="O36" s="29"/>
      <c r="P36" s="29"/>
      <c r="Q36" s="29"/>
      <c r="R36" s="29"/>
      <c r="S36" s="29"/>
      <c r="T36" s="29"/>
      <c r="U36" s="29"/>
      <c r="V36" s="29"/>
      <c r="W36" s="29"/>
      <c r="X36" s="29"/>
    </row>
    <row r="37">
      <c r="A37" s="29"/>
      <c r="B37" s="29"/>
      <c r="C37" s="29"/>
      <c r="D37" s="29"/>
      <c r="E37" s="29"/>
      <c r="F37" s="29"/>
      <c r="G37" s="29"/>
      <c r="H37" s="29"/>
      <c r="I37" s="29"/>
      <c r="J37" s="29"/>
      <c r="K37" s="54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</row>
    <row r="38">
      <c r="A38" s="29"/>
      <c r="B38" s="29"/>
      <c r="C38" s="29"/>
      <c r="D38" s="29"/>
      <c r="E38" s="29"/>
      <c r="F38" s="29"/>
      <c r="G38" s="29"/>
      <c r="H38" s="29"/>
      <c r="I38" s="29"/>
      <c r="J38" s="29"/>
      <c r="K38" s="54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</row>
    <row r="39">
      <c r="A39" s="29"/>
      <c r="B39" s="29"/>
      <c r="C39" s="29"/>
      <c r="D39" s="29"/>
      <c r="E39" s="29"/>
      <c r="F39" s="29"/>
      <c r="G39" s="29"/>
      <c r="H39" s="29"/>
      <c r="I39" s="29"/>
      <c r="J39" s="29"/>
      <c r="K39" s="54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</row>
    <row r="40">
      <c r="A40" s="29"/>
      <c r="B40" s="29"/>
      <c r="C40" s="29"/>
      <c r="D40" s="29"/>
      <c r="E40" s="29"/>
      <c r="F40" s="29"/>
      <c r="G40" s="29"/>
      <c r="H40" s="29"/>
      <c r="I40" s="29"/>
      <c r="J40" s="29"/>
      <c r="K40" s="54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</row>
    <row r="41">
      <c r="A41" s="29"/>
      <c r="B41" s="29"/>
      <c r="C41" s="29"/>
      <c r="D41" s="29"/>
      <c r="E41" s="29"/>
      <c r="F41" s="29"/>
      <c r="G41" s="29"/>
      <c r="H41" s="29"/>
      <c r="I41" s="29"/>
      <c r="J41" s="29"/>
      <c r="K41" s="54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</row>
    <row r="42">
      <c r="A42" s="29"/>
      <c r="B42" s="29"/>
      <c r="C42" s="29"/>
      <c r="D42" s="29"/>
      <c r="E42" s="29"/>
      <c r="F42" s="29"/>
      <c r="G42" s="29"/>
      <c r="H42" s="29"/>
      <c r="I42" s="29"/>
      <c r="J42" s="29"/>
      <c r="K42" s="54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</row>
    <row r="43">
      <c r="A43" s="29"/>
      <c r="B43" s="29"/>
      <c r="C43" s="29"/>
      <c r="D43" s="29"/>
      <c r="E43" s="29"/>
      <c r="F43" s="29"/>
      <c r="G43" s="29"/>
      <c r="H43" s="29"/>
      <c r="I43" s="29"/>
      <c r="J43" s="29"/>
      <c r="K43" s="54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</row>
    <row r="44">
      <c r="A44" s="29"/>
      <c r="B44" s="29"/>
      <c r="C44" s="29"/>
      <c r="D44" s="29"/>
      <c r="E44" s="29"/>
      <c r="F44" s="29"/>
      <c r="G44" s="29"/>
      <c r="H44" s="29"/>
      <c r="I44" s="29"/>
      <c r="J44" s="29"/>
      <c r="K44" s="54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</row>
    <row r="45">
      <c r="A45" s="29"/>
      <c r="B45" s="29"/>
      <c r="C45" s="29"/>
      <c r="D45" s="29"/>
      <c r="E45" s="29"/>
      <c r="F45" s="29"/>
      <c r="G45" s="29"/>
      <c r="H45" s="29"/>
      <c r="I45" s="29"/>
      <c r="J45" s="29"/>
      <c r="K45" s="54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</row>
    <row r="46">
      <c r="A46" s="29"/>
      <c r="B46" s="29"/>
      <c r="C46" s="29"/>
      <c r="D46" s="29"/>
      <c r="E46" s="29"/>
      <c r="F46" s="29"/>
      <c r="G46" s="29"/>
      <c r="H46" s="29"/>
      <c r="I46" s="29"/>
      <c r="J46" s="29"/>
      <c r="K46" s="54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</row>
    <row r="47">
      <c r="A47" s="29"/>
      <c r="B47" s="29"/>
      <c r="C47" s="29"/>
      <c r="D47" s="29"/>
      <c r="E47" s="29"/>
      <c r="F47" s="29"/>
      <c r="G47" s="29"/>
      <c r="H47" s="29"/>
      <c r="I47" s="29"/>
      <c r="J47" s="29"/>
      <c r="K47" s="54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</row>
    <row r="48">
      <c r="A48" s="29"/>
      <c r="B48" s="29"/>
      <c r="C48" s="29"/>
      <c r="D48" s="29"/>
      <c r="E48" s="29"/>
      <c r="F48" s="29"/>
      <c r="G48" s="29"/>
      <c r="H48" s="29"/>
      <c r="I48" s="29"/>
      <c r="J48" s="29"/>
      <c r="K48" s="54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</row>
    <row r="49">
      <c r="A49" s="29"/>
      <c r="B49" s="29"/>
      <c r="C49" s="29"/>
      <c r="D49" s="29"/>
      <c r="E49" s="29"/>
      <c r="F49" s="29"/>
      <c r="G49" s="29"/>
      <c r="H49" s="29"/>
      <c r="I49" s="29"/>
      <c r="J49" s="29"/>
      <c r="K49" s="54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</row>
    <row r="50">
      <c r="A50" s="29"/>
      <c r="B50" s="29"/>
      <c r="C50" s="29"/>
      <c r="D50" s="29"/>
      <c r="E50" s="29"/>
      <c r="F50" s="29"/>
      <c r="G50" s="29"/>
      <c r="H50" s="29"/>
      <c r="I50" s="29"/>
      <c r="J50" s="29"/>
      <c r="K50" s="54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</row>
    <row r="51">
      <c r="A51" s="29"/>
      <c r="B51" s="29"/>
      <c r="C51" s="29"/>
      <c r="D51" s="29"/>
      <c r="E51" s="29"/>
      <c r="F51" s="29"/>
      <c r="G51" s="29"/>
      <c r="H51" s="29"/>
      <c r="I51" s="29"/>
      <c r="J51" s="29"/>
      <c r="K51" s="54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</row>
    <row r="52">
      <c r="A52" s="29"/>
      <c r="B52" s="29"/>
      <c r="C52" s="29"/>
      <c r="D52" s="29"/>
      <c r="E52" s="29"/>
      <c r="F52" s="29"/>
      <c r="G52" s="29"/>
      <c r="H52" s="29"/>
      <c r="I52" s="29"/>
      <c r="J52" s="29"/>
      <c r="K52" s="54"/>
      <c r="L52" s="29"/>
      <c r="M52" s="29"/>
      <c r="N52" s="29"/>
      <c r="O52" s="29"/>
      <c r="P52" s="29"/>
      <c r="Q52" s="29"/>
      <c r="R52" s="29"/>
      <c r="S52" s="29"/>
      <c r="T52" s="29"/>
      <c r="U52" s="29"/>
      <c r="V52" s="29"/>
      <c r="W52" s="29"/>
      <c r="X52" s="29"/>
    </row>
    <row r="53">
      <c r="A53" s="29"/>
      <c r="B53" s="29"/>
      <c r="C53" s="29"/>
      <c r="D53" s="29"/>
      <c r="E53" s="29"/>
      <c r="F53" s="29"/>
      <c r="G53" s="29"/>
      <c r="H53" s="29"/>
      <c r="I53" s="29"/>
      <c r="J53" s="29"/>
      <c r="K53" s="54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</row>
    <row r="54">
      <c r="A54" s="29"/>
      <c r="B54" s="29"/>
      <c r="C54" s="29"/>
      <c r="D54" s="29"/>
      <c r="E54" s="29"/>
      <c r="F54" s="29"/>
      <c r="G54" s="29"/>
      <c r="H54" s="29"/>
      <c r="I54" s="29"/>
      <c r="J54" s="29"/>
      <c r="K54" s="54"/>
      <c r="L54" s="29"/>
      <c r="M54" s="29"/>
      <c r="N54" s="29"/>
      <c r="O54" s="29"/>
      <c r="P54" s="29"/>
      <c r="Q54" s="29"/>
      <c r="R54" s="29"/>
      <c r="S54" s="29"/>
      <c r="T54" s="29"/>
      <c r="U54" s="29"/>
      <c r="V54" s="29"/>
      <c r="W54" s="29"/>
      <c r="X54" s="29"/>
    </row>
    <row r="55">
      <c r="A55" s="29"/>
      <c r="B55" s="29"/>
      <c r="C55" s="29"/>
      <c r="D55" s="29"/>
      <c r="E55" s="29"/>
      <c r="F55" s="29"/>
      <c r="G55" s="29"/>
      <c r="H55" s="29"/>
      <c r="I55" s="29"/>
      <c r="J55" s="29"/>
      <c r="K55" s="54"/>
      <c r="L55" s="29"/>
      <c r="M55" s="29"/>
      <c r="N55" s="29"/>
      <c r="O55" s="29"/>
      <c r="P55" s="29"/>
      <c r="Q55" s="29"/>
      <c r="R55" s="29"/>
      <c r="S55" s="29"/>
      <c r="T55" s="29"/>
      <c r="U55" s="29"/>
      <c r="V55" s="29"/>
      <c r="W55" s="29"/>
      <c r="X55" s="29"/>
    </row>
    <row r="56">
      <c r="A56" s="29"/>
      <c r="B56" s="29"/>
      <c r="C56" s="29"/>
      <c r="D56" s="29"/>
      <c r="E56" s="29"/>
      <c r="F56" s="29"/>
      <c r="G56" s="29"/>
      <c r="H56" s="29"/>
      <c r="I56" s="29"/>
      <c r="J56" s="29"/>
      <c r="K56" s="54"/>
      <c r="L56" s="29"/>
      <c r="M56" s="29"/>
      <c r="N56" s="29"/>
      <c r="O56" s="29"/>
      <c r="P56" s="29"/>
      <c r="Q56" s="29"/>
      <c r="R56" s="29"/>
      <c r="S56" s="29"/>
      <c r="T56" s="29"/>
      <c r="U56" s="29"/>
      <c r="V56" s="29"/>
      <c r="W56" s="29"/>
      <c r="X56" s="29"/>
    </row>
    <row r="57">
      <c r="A57" s="29"/>
      <c r="B57" s="29"/>
      <c r="C57" s="29"/>
      <c r="D57" s="29"/>
      <c r="E57" s="29"/>
      <c r="F57" s="29"/>
      <c r="G57" s="29"/>
      <c r="H57" s="29"/>
      <c r="I57" s="29"/>
      <c r="J57" s="29"/>
      <c r="K57" s="54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</row>
    <row r="58">
      <c r="A58" s="29"/>
      <c r="B58" s="29"/>
      <c r="C58" s="29"/>
      <c r="D58" s="29"/>
      <c r="E58" s="29"/>
      <c r="F58" s="29"/>
      <c r="G58" s="29"/>
      <c r="H58" s="29"/>
      <c r="I58" s="29"/>
      <c r="J58" s="29"/>
      <c r="K58" s="54"/>
      <c r="L58" s="29"/>
      <c r="M58" s="29"/>
      <c r="N58" s="29"/>
      <c r="O58" s="29"/>
      <c r="P58" s="29"/>
      <c r="Q58" s="29"/>
      <c r="R58" s="29"/>
      <c r="S58" s="29"/>
      <c r="T58" s="29"/>
      <c r="U58" s="29"/>
      <c r="V58" s="29"/>
      <c r="W58" s="29"/>
      <c r="X58" s="29"/>
    </row>
    <row r="59">
      <c r="A59" s="29"/>
      <c r="B59" s="29"/>
      <c r="C59" s="29"/>
      <c r="D59" s="29"/>
      <c r="E59" s="29"/>
      <c r="F59" s="29"/>
      <c r="G59" s="29"/>
      <c r="H59" s="29"/>
      <c r="I59" s="29"/>
      <c r="J59" s="29"/>
      <c r="K59" s="54"/>
      <c r="L59" s="29"/>
      <c r="M59" s="29"/>
      <c r="N59" s="29"/>
      <c r="O59" s="29"/>
      <c r="P59" s="29"/>
      <c r="Q59" s="29"/>
      <c r="R59" s="29"/>
      <c r="S59" s="29"/>
      <c r="T59" s="29"/>
      <c r="U59" s="29"/>
      <c r="V59" s="29"/>
      <c r="W59" s="29"/>
      <c r="X59" s="29"/>
    </row>
    <row r="60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54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</row>
    <row r="6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54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</row>
    <row r="62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54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</row>
    <row r="63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54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</row>
    <row r="64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54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</row>
    <row r="65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54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</row>
    <row r="66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54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</row>
    <row r="67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54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</row>
    <row r="68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54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</row>
    <row r="69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54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</row>
    <row r="70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54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</row>
    <row r="7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54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</row>
    <row r="72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54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</row>
    <row r="73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54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</row>
    <row r="74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54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</row>
    <row r="75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54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</row>
    <row r="76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54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</row>
    <row r="77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54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</row>
    <row r="78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54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</row>
    <row r="79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54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</row>
    <row r="80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54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</row>
    <row r="8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54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</row>
    <row r="82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54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</row>
    <row r="83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54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</row>
    <row r="84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54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</row>
    <row r="85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54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</row>
    <row r="86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54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</row>
    <row r="87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54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</row>
    <row r="88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54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</row>
    <row r="89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54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</row>
    <row r="90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54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</row>
    <row r="9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54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</row>
    <row r="92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54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</row>
    <row r="93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54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</row>
    <row r="94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54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</row>
    <row r="95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54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</row>
    <row r="96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54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</row>
    <row r="97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54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</row>
    <row r="98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54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</row>
    <row r="99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54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</row>
    <row r="100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54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</row>
    <row r="10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54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</row>
    <row r="102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54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</row>
    <row r="103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54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</row>
    <row r="104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54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</row>
    <row r="105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54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</row>
    <row r="106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54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</row>
    <row r="107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54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</row>
    <row r="108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54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</row>
    <row r="109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54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</row>
    <row r="110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54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</row>
    <row r="11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54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</row>
    <row r="112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54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</row>
    <row r="113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54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</row>
    <row r="114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54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</row>
    <row r="115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54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</row>
    <row r="116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54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</row>
    <row r="117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54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</row>
    <row r="118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54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</row>
    <row r="119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54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</row>
    <row r="120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54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</row>
    <row r="12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54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</row>
    <row r="122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54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</row>
    <row r="123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54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</row>
    <row r="124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54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</row>
    <row r="125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54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</row>
    <row r="126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54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</row>
    <row r="127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54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</row>
    <row r="128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54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</row>
    <row r="129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54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</row>
    <row r="130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54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</row>
    <row r="13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54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</row>
    <row r="132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54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</row>
    <row r="133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54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</row>
    <row r="134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54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</row>
    <row r="135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54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</row>
    <row r="136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54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</row>
    <row r="137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54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</row>
    <row r="138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54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</row>
    <row r="139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54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</row>
    <row r="140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54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</row>
    <row r="14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54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</row>
    <row r="142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54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</row>
    <row r="143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54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</row>
    <row r="144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54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</row>
    <row r="145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54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</row>
    <row r="146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54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</row>
    <row r="147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54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</row>
    <row r="148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54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</row>
    <row r="149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54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</row>
    <row r="150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54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</row>
    <row r="15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54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</row>
    <row r="152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54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</row>
    <row r="153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54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</row>
    <row r="154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54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</row>
    <row r="155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54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</row>
    <row r="156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54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</row>
    <row r="157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54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</row>
    <row r="158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54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</row>
    <row r="159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54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</row>
    <row r="160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54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</row>
    <row r="16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54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</row>
    <row r="162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54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</row>
    <row r="163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54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</row>
    <row r="164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54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</row>
    <row r="165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54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</row>
    <row r="166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54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</row>
    <row r="167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54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</row>
    <row r="168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54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</row>
    <row r="169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54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</row>
    <row r="170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54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</row>
    <row r="17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54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</row>
    <row r="172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54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</row>
    <row r="173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54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</row>
    <row r="174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54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</row>
    <row r="175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54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</row>
    <row r="176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54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</row>
    <row r="177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54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</row>
    <row r="178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54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</row>
    <row r="179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54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</row>
    <row r="180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54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</row>
    <row r="18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54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</row>
    <row r="182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54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</row>
    <row r="183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54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</row>
    <row r="184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54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</row>
    <row r="185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54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</row>
    <row r="186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54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</row>
    <row r="187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54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</row>
    <row r="188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54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</row>
    <row r="189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54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</row>
    <row r="190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54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</row>
    <row r="19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54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</row>
    <row r="192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54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</row>
    <row r="193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54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</row>
    <row r="194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54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</row>
    <row r="195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54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</row>
    <row r="196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54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</row>
    <row r="197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54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</row>
    <row r="198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54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</row>
    <row r="199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54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</row>
    <row r="200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54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</row>
    <row r="20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54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</row>
    <row r="202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54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</row>
    <row r="203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54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</row>
    <row r="204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54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</row>
    <row r="205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54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</row>
    <row r="206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54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</row>
    <row r="207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54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</row>
    <row r="208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54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</row>
    <row r="209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54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</row>
    <row r="210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54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</row>
    <row r="21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54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</row>
    <row r="212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54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</row>
    <row r="213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54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</row>
    <row r="214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54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</row>
    <row r="215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54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</row>
    <row r="216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54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</row>
    <row r="217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54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</row>
    <row r="218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54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</row>
    <row r="219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54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</row>
    <row r="220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54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</row>
    <row r="22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54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</row>
    <row r="222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54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</row>
    <row r="223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54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</row>
    <row r="224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54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</row>
    <row r="225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54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</row>
    <row r="226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54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</row>
    <row r="227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54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</row>
    <row r="228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54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</row>
    <row r="229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54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</row>
    <row r="230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54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</row>
    <row r="23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54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</row>
    <row r="232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54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</row>
    <row r="233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54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</row>
    <row r="234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54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</row>
    <row r="235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54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</row>
    <row r="236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54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</row>
    <row r="237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54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</row>
    <row r="238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54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</row>
    <row r="239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54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</row>
    <row r="240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54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</row>
    <row r="24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54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</row>
    <row r="242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54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</row>
    <row r="243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54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</row>
    <row r="244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54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</row>
    <row r="245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54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</row>
    <row r="246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54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</row>
    <row r="247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54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</row>
    <row r="248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54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</row>
    <row r="249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54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</row>
    <row r="250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54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</row>
    <row r="25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54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</row>
    <row r="252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54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</row>
    <row r="253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54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</row>
    <row r="254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54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</row>
    <row r="255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54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</row>
    <row r="256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54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</row>
    <row r="257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54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</row>
    <row r="258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54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</row>
    <row r="259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54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</row>
    <row r="260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54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</row>
    <row r="26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54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</row>
    <row r="262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54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</row>
    <row r="263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54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</row>
    <row r="264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54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</row>
    <row r="265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54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</row>
    <row r="266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54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</row>
    <row r="267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54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</row>
    <row r="268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54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</row>
    <row r="269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54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</row>
    <row r="270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54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</row>
    <row r="27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54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</row>
    <row r="272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54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</row>
    <row r="273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54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</row>
    <row r="274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54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</row>
    <row r="275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54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</row>
    <row r="276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54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</row>
    <row r="277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54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</row>
    <row r="278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54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</row>
    <row r="279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54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</row>
    <row r="280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54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</row>
    <row r="28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54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</row>
    <row r="282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54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</row>
    <row r="283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54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</row>
    <row r="284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54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</row>
    <row r="285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54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</row>
    <row r="286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54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</row>
    <row r="287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54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</row>
    <row r="288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54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</row>
    <row r="289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54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</row>
    <row r="290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54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</row>
    <row r="29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54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</row>
    <row r="292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54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</row>
    <row r="293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54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</row>
    <row r="294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54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</row>
    <row r="295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54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</row>
    <row r="296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54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</row>
    <row r="297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54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</row>
    <row r="298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54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</row>
    <row r="299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54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</row>
    <row r="300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54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</row>
    <row r="30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54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</row>
    <row r="302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54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</row>
    <row r="303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54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</row>
    <row r="304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54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</row>
    <row r="305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54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</row>
    <row r="306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54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</row>
    <row r="307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54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</row>
    <row r="308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54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</row>
    <row r="309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54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</row>
    <row r="310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54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</row>
    <row r="31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54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</row>
    <row r="312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54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</row>
    <row r="313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54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</row>
    <row r="314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54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</row>
    <row r="315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54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</row>
    <row r="316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54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</row>
    <row r="317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54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</row>
    <row r="318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54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</row>
    <row r="319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54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</row>
    <row r="320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54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</row>
    <row r="32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54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</row>
    <row r="322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54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</row>
    <row r="323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54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</row>
    <row r="324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54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</row>
    <row r="325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54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</row>
    <row r="326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54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</row>
    <row r="327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54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</row>
    <row r="328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54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</row>
    <row r="329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54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</row>
    <row r="330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54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</row>
    <row r="33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54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</row>
    <row r="332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54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</row>
    <row r="333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54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</row>
    <row r="334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54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</row>
    <row r="335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54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</row>
    <row r="336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54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</row>
    <row r="337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54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</row>
    <row r="338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54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</row>
    <row r="339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54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</row>
    <row r="340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54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</row>
    <row r="34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54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</row>
    <row r="342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54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</row>
    <row r="343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54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</row>
    <row r="344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54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</row>
    <row r="345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54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</row>
    <row r="346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54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</row>
    <row r="347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54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</row>
    <row r="348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54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</row>
    <row r="349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54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</row>
    <row r="350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54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</row>
    <row r="35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54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</row>
    <row r="352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54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</row>
    <row r="353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54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</row>
    <row r="354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54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</row>
    <row r="355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54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</row>
    <row r="356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54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</row>
    <row r="357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54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</row>
    <row r="358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54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</row>
    <row r="359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54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</row>
    <row r="360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54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</row>
    <row r="36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54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</row>
    <row r="362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54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</row>
    <row r="363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54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</row>
    <row r="364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54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</row>
    <row r="365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54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</row>
    <row r="366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54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</row>
    <row r="367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54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</row>
    <row r="368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54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</row>
    <row r="369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54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</row>
    <row r="370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54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</row>
    <row r="37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54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</row>
    <row r="372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54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</row>
    <row r="373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54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</row>
    <row r="374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54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</row>
    <row r="375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54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</row>
    <row r="376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54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</row>
    <row r="377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54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</row>
    <row r="378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54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</row>
    <row r="379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54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</row>
    <row r="380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54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</row>
    <row r="38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54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</row>
    <row r="382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54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</row>
    <row r="383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54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</row>
    <row r="384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54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</row>
    <row r="385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54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</row>
    <row r="386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54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</row>
    <row r="387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54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</row>
    <row r="388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54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</row>
    <row r="389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54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</row>
    <row r="390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54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</row>
    <row r="39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54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</row>
    <row r="392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54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</row>
    <row r="393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54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</row>
    <row r="394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54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</row>
    <row r="395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54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</row>
    <row r="396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54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</row>
    <row r="397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54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</row>
    <row r="398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54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</row>
    <row r="399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54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</row>
    <row r="400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54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</row>
    <row r="40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54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</row>
    <row r="402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54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</row>
    <row r="403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54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</row>
    <row r="404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54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</row>
    <row r="405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54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</row>
    <row r="406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54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</row>
    <row r="407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54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</row>
    <row r="408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54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</row>
    <row r="409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54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</row>
    <row r="410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54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</row>
    <row r="41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54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</row>
    <row r="412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54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</row>
    <row r="413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54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</row>
    <row r="414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54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</row>
    <row r="415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54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</row>
    <row r="416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54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</row>
    <row r="417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54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</row>
    <row r="418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54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</row>
    <row r="419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54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</row>
    <row r="420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54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</row>
    <row r="42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54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</row>
    <row r="422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54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</row>
    <row r="423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54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</row>
    <row r="424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54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</row>
    <row r="425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54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</row>
    <row r="426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54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</row>
    <row r="427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54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</row>
    <row r="428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54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</row>
    <row r="429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54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</row>
    <row r="430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54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</row>
    <row r="43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54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</row>
    <row r="432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54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</row>
    <row r="433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54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</row>
    <row r="434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54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</row>
    <row r="435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54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</row>
    <row r="436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54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</row>
    <row r="437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54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</row>
    <row r="438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54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</row>
    <row r="439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54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</row>
    <row r="440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54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</row>
    <row r="44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54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</row>
    <row r="442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54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</row>
    <row r="443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54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</row>
    <row r="444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54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</row>
    <row r="445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54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</row>
    <row r="446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54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</row>
    <row r="447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54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</row>
    <row r="448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54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</row>
    <row r="449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54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</row>
    <row r="450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54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</row>
    <row r="45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54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</row>
    <row r="452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54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</row>
    <row r="453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54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</row>
    <row r="454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54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</row>
    <row r="455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54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</row>
    <row r="456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54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</row>
    <row r="457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54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</row>
    <row r="458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54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</row>
    <row r="459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54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</row>
    <row r="460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54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</row>
    <row r="46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54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</row>
    <row r="462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54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</row>
    <row r="463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54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</row>
    <row r="464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54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</row>
    <row r="465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54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</row>
    <row r="466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54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</row>
    <row r="467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54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</row>
    <row r="468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54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</row>
    <row r="469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54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</row>
    <row r="470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54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</row>
    <row r="47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54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</row>
    <row r="472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54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</row>
    <row r="473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54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</row>
    <row r="474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54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</row>
    <row r="475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54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</row>
    <row r="476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54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</row>
    <row r="477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54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</row>
    <row r="478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54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</row>
    <row r="479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54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</row>
    <row r="480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54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</row>
    <row r="48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54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</row>
    <row r="482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54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</row>
    <row r="483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54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</row>
    <row r="484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54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</row>
    <row r="485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54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</row>
    <row r="486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54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</row>
    <row r="487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54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</row>
    <row r="488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54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</row>
    <row r="489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54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</row>
    <row r="490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54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</row>
    <row r="49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54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</row>
    <row r="492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54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</row>
    <row r="493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54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</row>
    <row r="494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54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</row>
    <row r="495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54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</row>
    <row r="496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54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</row>
    <row r="497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54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</row>
    <row r="498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54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</row>
    <row r="499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54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</row>
    <row r="500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54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</row>
    <row r="50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54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</row>
    <row r="502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54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</row>
    <row r="503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54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</row>
    <row r="504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54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</row>
    <row r="505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54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</row>
    <row r="506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54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</row>
    <row r="507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54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</row>
    <row r="508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54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</row>
    <row r="509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54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</row>
    <row r="510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54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</row>
    <row r="51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54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</row>
    <row r="512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54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</row>
    <row r="513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54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</row>
    <row r="514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54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</row>
    <row r="515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54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</row>
    <row r="516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54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</row>
    <row r="517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54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</row>
    <row r="518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54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</row>
    <row r="519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54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</row>
    <row r="520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54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</row>
    <row r="52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54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</row>
    <row r="522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54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</row>
    <row r="523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54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</row>
    <row r="524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54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</row>
    <row r="525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54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</row>
    <row r="526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54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</row>
    <row r="527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54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</row>
    <row r="528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54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</row>
    <row r="529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54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</row>
    <row r="530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54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</row>
    <row r="53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54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</row>
    <row r="532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54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</row>
    <row r="533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54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</row>
    <row r="534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54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</row>
    <row r="535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54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</row>
    <row r="536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54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</row>
    <row r="537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54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</row>
    <row r="538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54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</row>
    <row r="539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54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</row>
    <row r="540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54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</row>
    <row r="54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54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</row>
    <row r="542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54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</row>
    <row r="543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54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</row>
    <row r="544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54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</row>
    <row r="545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54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</row>
    <row r="546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54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</row>
    <row r="547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54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</row>
    <row r="548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54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</row>
    <row r="549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54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</row>
    <row r="550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54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</row>
    <row r="55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54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</row>
    <row r="552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54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</row>
    <row r="553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54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</row>
    <row r="554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54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</row>
    <row r="555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54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</row>
    <row r="556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54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</row>
    <row r="557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54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</row>
    <row r="558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54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</row>
    <row r="559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54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</row>
    <row r="560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54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</row>
    <row r="56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54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</row>
    <row r="562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54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</row>
    <row r="563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54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</row>
    <row r="564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54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</row>
    <row r="565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54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</row>
    <row r="566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54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</row>
    <row r="567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54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</row>
    <row r="568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54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</row>
    <row r="569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54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</row>
    <row r="570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54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</row>
    <row r="57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54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</row>
    <row r="572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54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</row>
    <row r="573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54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</row>
    <row r="574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54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</row>
    <row r="575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54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</row>
    <row r="576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54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</row>
    <row r="577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54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</row>
    <row r="578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54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</row>
    <row r="579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54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</row>
    <row r="580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54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</row>
    <row r="58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54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</row>
    <row r="582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54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</row>
    <row r="583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54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</row>
    <row r="584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54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</row>
    <row r="585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54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</row>
    <row r="586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54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</row>
    <row r="587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54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</row>
    <row r="588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54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</row>
    <row r="589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54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</row>
    <row r="590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54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</row>
    <row r="59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54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</row>
    <row r="592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54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</row>
    <row r="593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54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</row>
    <row r="594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54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</row>
    <row r="595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54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</row>
    <row r="596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54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</row>
    <row r="597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54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</row>
    <row r="598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54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</row>
    <row r="599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54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</row>
    <row r="600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54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</row>
    <row r="60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54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</row>
    <row r="602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54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</row>
    <row r="603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54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</row>
    <row r="604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54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</row>
    <row r="605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54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</row>
    <row r="606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54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</row>
    <row r="607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54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</row>
    <row r="608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54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</row>
    <row r="609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54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</row>
    <row r="610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54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</row>
    <row r="61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54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</row>
    <row r="612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54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</row>
    <row r="613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54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</row>
    <row r="614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54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</row>
    <row r="615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54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</row>
    <row r="616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54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</row>
    <row r="617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54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</row>
    <row r="618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54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</row>
    <row r="619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54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</row>
    <row r="620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54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</row>
    <row r="62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54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</row>
    <row r="622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54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</row>
    <row r="623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54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</row>
    <row r="624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54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</row>
    <row r="625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54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</row>
    <row r="626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54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</row>
    <row r="627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54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</row>
    <row r="628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54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</row>
    <row r="629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54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</row>
    <row r="630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54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</row>
    <row r="63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54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</row>
    <row r="632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54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</row>
    <row r="633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54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</row>
    <row r="634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54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</row>
    <row r="635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54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</row>
    <row r="636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54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</row>
    <row r="637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54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</row>
    <row r="638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54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</row>
    <row r="639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54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</row>
    <row r="640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54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</row>
    <row r="64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54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</row>
    <row r="642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54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</row>
    <row r="643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54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</row>
    <row r="644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54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</row>
    <row r="645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54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</row>
    <row r="646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54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</row>
    <row r="647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54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</row>
    <row r="648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54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</row>
    <row r="649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54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</row>
    <row r="650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54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</row>
    <row r="65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54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</row>
    <row r="652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54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</row>
    <row r="653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54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</row>
    <row r="654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54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</row>
    <row r="655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54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</row>
    <row r="656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54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</row>
    <row r="657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54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</row>
    <row r="658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54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</row>
    <row r="659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54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</row>
    <row r="660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54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</row>
    <row r="66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54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</row>
    <row r="662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54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</row>
    <row r="663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54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</row>
    <row r="664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54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</row>
    <row r="665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54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</row>
    <row r="666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54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</row>
    <row r="667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54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</row>
    <row r="668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54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</row>
    <row r="669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54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</row>
    <row r="670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54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</row>
    <row r="67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54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</row>
    <row r="672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54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</row>
    <row r="673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54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</row>
    <row r="674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54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</row>
    <row r="675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54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</row>
    <row r="676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54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</row>
    <row r="677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54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</row>
    <row r="678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54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</row>
    <row r="679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54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</row>
    <row r="680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54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</row>
    <row r="68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54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</row>
    <row r="682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54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</row>
    <row r="683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54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</row>
    <row r="684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54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</row>
    <row r="685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54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</row>
    <row r="686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54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</row>
    <row r="687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54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</row>
    <row r="688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54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</row>
    <row r="689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54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</row>
    <row r="690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54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</row>
    <row r="69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54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</row>
    <row r="692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54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</row>
    <row r="693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54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</row>
    <row r="694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54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</row>
    <row r="695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54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</row>
    <row r="696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54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</row>
    <row r="697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54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</row>
    <row r="698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54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</row>
    <row r="699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54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</row>
    <row r="700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54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</row>
    <row r="70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54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</row>
    <row r="702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54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</row>
    <row r="703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54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</row>
    <row r="704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54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</row>
    <row r="705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54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</row>
    <row r="706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54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</row>
    <row r="707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54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</row>
    <row r="708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54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</row>
    <row r="709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54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</row>
    <row r="710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54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</row>
    <row r="71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54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</row>
    <row r="712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54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</row>
    <row r="713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54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</row>
    <row r="714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54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</row>
    <row r="715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54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</row>
    <row r="716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54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</row>
    <row r="717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54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</row>
    <row r="718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54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</row>
    <row r="719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54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</row>
    <row r="720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54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</row>
    <row r="72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54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</row>
    <row r="722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54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</row>
    <row r="723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54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</row>
    <row r="724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54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</row>
    <row r="725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54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</row>
    <row r="726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54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</row>
    <row r="727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54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</row>
    <row r="728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54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</row>
    <row r="729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54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</row>
    <row r="730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54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</row>
    <row r="73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54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</row>
    <row r="732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54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</row>
    <row r="733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54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</row>
    <row r="734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54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</row>
    <row r="735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54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</row>
    <row r="736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54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</row>
    <row r="737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54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</row>
    <row r="738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54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</row>
    <row r="739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54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</row>
    <row r="740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54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</row>
    <row r="74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54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</row>
    <row r="742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54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</row>
    <row r="743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54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</row>
    <row r="744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54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</row>
    <row r="745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54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</row>
    <row r="746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54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</row>
    <row r="747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54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</row>
    <row r="748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54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</row>
    <row r="749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54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</row>
    <row r="750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54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</row>
    <row r="75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54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</row>
    <row r="752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54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</row>
    <row r="753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54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</row>
    <row r="754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54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</row>
    <row r="755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54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</row>
    <row r="756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54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</row>
    <row r="757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54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</row>
    <row r="758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54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</row>
    <row r="759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54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</row>
    <row r="760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54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</row>
    <row r="76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54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</row>
    <row r="762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54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</row>
    <row r="763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54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</row>
    <row r="764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54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</row>
    <row r="765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54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</row>
    <row r="766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54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</row>
    <row r="767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54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</row>
    <row r="768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54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</row>
    <row r="769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54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</row>
    <row r="770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54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</row>
    <row r="77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54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</row>
    <row r="772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54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</row>
    <row r="773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54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</row>
    <row r="774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54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</row>
    <row r="775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54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</row>
    <row r="776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54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</row>
    <row r="777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54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</row>
    <row r="778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54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</row>
    <row r="779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54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</row>
    <row r="780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54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</row>
    <row r="78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54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</row>
    <row r="782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54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</row>
    <row r="783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54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</row>
    <row r="784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54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</row>
    <row r="785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54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</row>
    <row r="786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54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</row>
    <row r="787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54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</row>
    <row r="788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54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</row>
    <row r="789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54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</row>
    <row r="790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54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</row>
    <row r="79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54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</row>
    <row r="792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54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</row>
    <row r="793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54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</row>
    <row r="794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54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</row>
    <row r="795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54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</row>
    <row r="796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54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</row>
    <row r="797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54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</row>
    <row r="798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54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</row>
    <row r="799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54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</row>
    <row r="800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54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</row>
    <row r="80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54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</row>
    <row r="802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54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</row>
    <row r="803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54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</row>
    <row r="804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54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</row>
    <row r="805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54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</row>
    <row r="806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54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</row>
    <row r="807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54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</row>
    <row r="808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54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</row>
    <row r="809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54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</row>
    <row r="810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54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</row>
    <row r="81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54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</row>
    <row r="812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54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</row>
    <row r="813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54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</row>
    <row r="814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54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</row>
    <row r="815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54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</row>
    <row r="816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54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</row>
    <row r="817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54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</row>
    <row r="818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54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</row>
    <row r="819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54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</row>
    <row r="820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54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</row>
    <row r="82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54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</row>
    <row r="822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54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</row>
    <row r="823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54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</row>
    <row r="824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54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</row>
    <row r="825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54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</row>
    <row r="826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54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</row>
    <row r="827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54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</row>
    <row r="828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54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</row>
    <row r="829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54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</row>
    <row r="830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54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</row>
    <row r="83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54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</row>
    <row r="832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54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</row>
    <row r="833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54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</row>
    <row r="834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54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</row>
    <row r="835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54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</row>
    <row r="836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54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</row>
    <row r="837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54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</row>
    <row r="838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54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</row>
    <row r="839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54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</row>
    <row r="840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54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</row>
    <row r="84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54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</row>
    <row r="842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54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</row>
    <row r="843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54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</row>
    <row r="844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54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</row>
    <row r="845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54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</row>
    <row r="846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54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</row>
    <row r="847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54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</row>
    <row r="848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54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</row>
    <row r="849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54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</row>
    <row r="850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54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</row>
    <row r="85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54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</row>
    <row r="852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54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</row>
    <row r="853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54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</row>
    <row r="854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54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</row>
    <row r="855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54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</row>
    <row r="856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54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</row>
    <row r="857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54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</row>
    <row r="858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54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</row>
    <row r="859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54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</row>
    <row r="860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54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</row>
    <row r="86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54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</row>
    <row r="862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54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</row>
    <row r="863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54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</row>
    <row r="864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54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</row>
    <row r="865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54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</row>
    <row r="866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54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</row>
    <row r="867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54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</row>
    <row r="868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54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</row>
    <row r="869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54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</row>
    <row r="870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54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</row>
    <row r="87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54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</row>
    <row r="872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54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</row>
    <row r="873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54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</row>
    <row r="874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54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</row>
    <row r="875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54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</row>
    <row r="876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54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</row>
    <row r="877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54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</row>
    <row r="878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54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</row>
    <row r="879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54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</row>
    <row r="880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54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</row>
    <row r="88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54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</row>
    <row r="882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54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</row>
    <row r="883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54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</row>
    <row r="884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54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</row>
    <row r="885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54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</row>
    <row r="886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54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</row>
    <row r="887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54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</row>
    <row r="888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54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</row>
    <row r="889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54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</row>
    <row r="890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54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</row>
    <row r="89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54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</row>
    <row r="892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54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</row>
    <row r="893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54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</row>
    <row r="894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54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</row>
    <row r="895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54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</row>
    <row r="896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54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</row>
    <row r="897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54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</row>
    <row r="898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54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</row>
    <row r="899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54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</row>
    <row r="900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54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</row>
    <row r="90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54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</row>
    <row r="902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54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</row>
    <row r="903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54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</row>
    <row r="904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54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</row>
    <row r="905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54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</row>
    <row r="906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54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</row>
    <row r="907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54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</row>
    <row r="908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54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</row>
    <row r="909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54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</row>
    <row r="910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54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</row>
    <row r="91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54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</row>
    <row r="912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54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</row>
    <row r="913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54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</row>
    <row r="914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54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</row>
    <row r="915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54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</row>
    <row r="916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54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</row>
    <row r="917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54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</row>
    <row r="918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54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</row>
    <row r="919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54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</row>
    <row r="920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54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</row>
    <row r="92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54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</row>
    <row r="922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54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</row>
    <row r="923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54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</row>
    <row r="924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54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</row>
    <row r="925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54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</row>
    <row r="926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54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</row>
    <row r="927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54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</row>
    <row r="928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54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</row>
    <row r="929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54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</row>
    <row r="930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54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</row>
    <row r="93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54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</row>
    <row r="932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54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</row>
    <row r="933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54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</row>
    <row r="934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54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</row>
    <row r="935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54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</row>
    <row r="936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54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</row>
    <row r="937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54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</row>
    <row r="938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54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</row>
    <row r="939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54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</row>
    <row r="940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54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</row>
    <row r="94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54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</row>
    <row r="942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54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</row>
    <row r="943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54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</row>
    <row r="944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54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</row>
    <row r="945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54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</row>
    <row r="946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54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</row>
    <row r="947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54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</row>
    <row r="948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54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</row>
    <row r="949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54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</row>
    <row r="950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54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</row>
    <row r="95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54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</row>
    <row r="952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54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</row>
    <row r="953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54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</row>
    <row r="954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54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</row>
    <row r="955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54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</row>
    <row r="956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54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</row>
    <row r="957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54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</row>
    <row r="958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54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</row>
    <row r="959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54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</row>
    <row r="960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54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</row>
    <row r="96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54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</row>
    <row r="962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54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</row>
    <row r="963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54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</row>
    <row r="964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54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</row>
    <row r="965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54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</row>
    <row r="966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54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</row>
    <row r="967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54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</row>
    <row r="968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54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</row>
    <row r="969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54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</row>
    <row r="970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54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</row>
    <row r="97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54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</row>
    <row r="972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54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</row>
    <row r="973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54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</row>
    <row r="974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54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</row>
    <row r="975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54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</row>
    <row r="976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54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</row>
    <row r="977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54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</row>
    <row r="978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54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</row>
    <row r="979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54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</row>
    <row r="980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54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</row>
    <row r="98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54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</row>
    <row r="982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54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</row>
    <row r="983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54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</row>
    <row r="984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54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</row>
    <row r="985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54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</row>
    <row r="986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54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</row>
    <row r="987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54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</row>
    <row r="988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54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</row>
    <row r="989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54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</row>
    <row r="990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54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</row>
    <row r="99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54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</row>
    <row r="992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54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</row>
    <row r="993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54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</row>
    <row r="994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54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</row>
    <row r="995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54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</row>
    <row r="996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54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</row>
    <row r="997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54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</row>
    <row r="998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54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</row>
    <row r="999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54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</row>
  </sheetData>
  <mergeCells count="8">
    <mergeCell ref="A1:I1"/>
    <mergeCell ref="A2:A3"/>
    <mergeCell ref="B2:B3"/>
    <mergeCell ref="G2:H2"/>
    <mergeCell ref="I2:I3"/>
    <mergeCell ref="J2:J3"/>
    <mergeCell ref="K2:K3"/>
    <mergeCell ref="A26:B26"/>
  </mergeCells>
  <conditionalFormatting sqref="F1:F999">
    <cfRule type="cellIs" dxfId="0" priority="1" operator="greaterThanOrEqual">
      <formula>100000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 t="s">
        <v>101</v>
      </c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6">
        <v>4255198.0</v>
      </c>
      <c r="D4" s="1">
        <v>5022242.5</v>
      </c>
      <c r="E4" s="1">
        <f>'ต.ค.68'!D4+D4</f>
        <v>10070094.5</v>
      </c>
      <c r="F4" s="1">
        <v>3857751.0</v>
      </c>
      <c r="G4" s="1">
        <v>120023.73</v>
      </c>
      <c r="H4" s="1">
        <f t="shared" ref="H4:H25" si="2">D4-F4-G4</f>
        <v>1044467.77</v>
      </c>
      <c r="I4" s="1">
        <f>'ต.ค.68'!G4+H4</f>
        <v>2215270.9</v>
      </c>
      <c r="J4" s="1">
        <f t="shared" ref="J4:K4" si="1">(H4/D4)*100</f>
        <v>20.79684065</v>
      </c>
      <c r="K4" s="67">
        <f t="shared" si="1"/>
        <v>21.99851153</v>
      </c>
      <c r="L4" s="8"/>
      <c r="M4" s="8" t="s">
        <v>65</v>
      </c>
      <c r="N4" s="68" t="s">
        <v>66</v>
      </c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6747187.0</v>
      </c>
      <c r="D5" s="70">
        <v>6276816.84</v>
      </c>
      <c r="E5" s="1">
        <f>'ต.ค.68'!D5+D5</f>
        <v>12580163.3</v>
      </c>
      <c r="F5" s="70">
        <v>4637639.0</v>
      </c>
      <c r="G5" s="70">
        <v>385800.0</v>
      </c>
      <c r="H5" s="8">
        <f t="shared" si="2"/>
        <v>1253377.84</v>
      </c>
      <c r="I5" s="1">
        <f>'ต.ค.68'!G5+H5</f>
        <v>2734093.17</v>
      </c>
      <c r="J5" s="8">
        <f t="shared" ref="J5:K5" si="3">(H5/D5)*100</f>
        <v>19.96836728</v>
      </c>
      <c r="K5" s="67">
        <f t="shared" si="3"/>
        <v>21.73336788</v>
      </c>
      <c r="L5" s="8"/>
      <c r="M5" s="71" t="s">
        <v>67</v>
      </c>
      <c r="N5" s="72" t="s">
        <v>105</v>
      </c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2705831.0</v>
      </c>
      <c r="D6" s="71">
        <v>2055642.5</v>
      </c>
      <c r="E6" s="1">
        <f>'ต.ค.68'!D6+D6</f>
        <v>4008540</v>
      </c>
      <c r="F6" s="71">
        <v>1338640.0</v>
      </c>
      <c r="G6" s="71">
        <v>61580.85</v>
      </c>
      <c r="H6" s="8">
        <f t="shared" si="2"/>
        <v>655421.65</v>
      </c>
      <c r="I6" s="1">
        <f>'ต.ค.68'!G6+H6</f>
        <v>1255696.66</v>
      </c>
      <c r="J6" s="8">
        <f t="shared" ref="J6:K6" si="4">(H6/D6)*100</f>
        <v>31.88402896</v>
      </c>
      <c r="K6" s="67">
        <f t="shared" si="4"/>
        <v>31.32553648</v>
      </c>
      <c r="L6" s="8"/>
      <c r="M6" s="8"/>
      <c r="N6" s="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3069972.0</v>
      </c>
      <c r="D7" s="71">
        <v>2347776.0</v>
      </c>
      <c r="E7" s="1">
        <f>'ต.ค.68'!D7+D7</f>
        <v>4724991</v>
      </c>
      <c r="F7" s="71">
        <v>1772574.0</v>
      </c>
      <c r="G7" s="71">
        <v>33346.68</v>
      </c>
      <c r="H7" s="8">
        <f t="shared" si="2"/>
        <v>541855.32</v>
      </c>
      <c r="I7" s="1">
        <f>'ต.ค.68'!G7+H7</f>
        <v>1150810.32</v>
      </c>
      <c r="J7" s="8">
        <f t="shared" ref="J7:K7" si="5">(H7/D7)*100</f>
        <v>23.07951525</v>
      </c>
      <c r="K7" s="67">
        <f t="shared" si="5"/>
        <v>24.35582036</v>
      </c>
      <c r="L7" s="8"/>
      <c r="M7" s="71" t="s">
        <v>69</v>
      </c>
      <c r="N7" s="72" t="s">
        <v>70</v>
      </c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2381340.0</v>
      </c>
      <c r="D8" s="71">
        <v>2655239.95</v>
      </c>
      <c r="E8" s="1">
        <f>'ต.ค.68'!D8+D8</f>
        <v>5288111.97</v>
      </c>
      <c r="F8" s="71">
        <v>1542140.0</v>
      </c>
      <c r="G8" s="71">
        <v>185000.0</v>
      </c>
      <c r="H8" s="8">
        <f t="shared" si="2"/>
        <v>928099.95</v>
      </c>
      <c r="I8" s="1">
        <f>'ต.ค.68'!G8+H8</f>
        <v>1862448.97</v>
      </c>
      <c r="J8" s="8">
        <f t="shared" ref="J8:K8" si="6">(H8/D8)*100</f>
        <v>34.95352463</v>
      </c>
      <c r="K8" s="67">
        <f t="shared" si="6"/>
        <v>35.21954491</v>
      </c>
      <c r="L8" s="8"/>
      <c r="M8" s="71" t="s">
        <v>71</v>
      </c>
      <c r="N8" s="71">
        <v>6.43963619E8</v>
      </c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</row>
    <row r="9">
      <c r="A9" s="64">
        <v>6.0</v>
      </c>
      <c r="B9" s="65" t="s">
        <v>32</v>
      </c>
      <c r="C9" s="73">
        <v>2901150.0</v>
      </c>
      <c r="D9" s="73">
        <v>2784050.0</v>
      </c>
      <c r="E9" s="1">
        <f>'ต.ค.68'!D9+D9</f>
        <v>5620762</v>
      </c>
      <c r="F9" s="74">
        <v>2079189.0</v>
      </c>
      <c r="G9" s="74">
        <v>62946.0</v>
      </c>
      <c r="H9" s="8">
        <f t="shared" si="2"/>
        <v>641915</v>
      </c>
      <c r="I9" s="1">
        <f>'ต.ค.68'!G9+H9</f>
        <v>1447471</v>
      </c>
      <c r="J9" s="8">
        <f t="shared" ref="J9:K9" si="7">(H9/D9)*100</f>
        <v>23.05687757</v>
      </c>
      <c r="K9" s="67">
        <f t="shared" si="7"/>
        <v>25.75222007</v>
      </c>
      <c r="L9" s="8"/>
      <c r="M9" s="71" t="s">
        <v>72</v>
      </c>
      <c r="N9" s="72" t="s">
        <v>73</v>
      </c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f>1036078.3</f>
        <v>1036078.3</v>
      </c>
      <c r="D10" s="77">
        <v>1026248.0</v>
      </c>
      <c r="E10" s="1">
        <f>'ต.ค.68'!D10+D10</f>
        <v>2081026</v>
      </c>
      <c r="F10" s="77">
        <f>856187+17543+93+15+436</f>
        <v>874274</v>
      </c>
      <c r="G10" s="77">
        <v>46790.45</v>
      </c>
      <c r="H10" s="16">
        <f t="shared" si="2"/>
        <v>105183.55</v>
      </c>
      <c r="I10" s="1">
        <f>'ต.ค.68'!G10+H10</f>
        <v>224633.55</v>
      </c>
      <c r="J10" s="16">
        <f t="shared" ref="J10:K10" si="8">(H10/D10)*100</f>
        <v>10.24933057</v>
      </c>
      <c r="K10" s="67">
        <f t="shared" si="8"/>
        <v>10.79436538</v>
      </c>
      <c r="L10" s="16"/>
      <c r="M10" s="78" t="s">
        <v>106</v>
      </c>
      <c r="N10" s="79" t="s">
        <v>107</v>
      </c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1343913.0</v>
      </c>
      <c r="D11" s="71">
        <v>1316903.0</v>
      </c>
      <c r="E11" s="1">
        <f>'ต.ค.68'!D11+D11</f>
        <v>2669453</v>
      </c>
      <c r="F11" s="71">
        <v>1147465.0</v>
      </c>
      <c r="G11" s="71">
        <v>42985.3</v>
      </c>
      <c r="H11" s="8">
        <f t="shared" si="2"/>
        <v>126452.7</v>
      </c>
      <c r="I11" s="1">
        <f>'ต.ค.68'!G11+H11</f>
        <v>308442.68</v>
      </c>
      <c r="J11" s="8">
        <f t="shared" ref="J11:K11" si="9">(H11/D11)*100</f>
        <v>9.602278983</v>
      </c>
      <c r="K11" s="67">
        <f t="shared" si="9"/>
        <v>11.55452746</v>
      </c>
      <c r="L11" s="8"/>
      <c r="M11" s="71" t="s">
        <v>76</v>
      </c>
      <c r="N11" s="72" t="s">
        <v>108</v>
      </c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3006713.0</v>
      </c>
      <c r="D12" s="71">
        <v>2717345.0</v>
      </c>
      <c r="E12" s="1">
        <f>'ต.ค.68'!D12+D12</f>
        <v>5541845</v>
      </c>
      <c r="F12" s="71">
        <v>1731577.0</v>
      </c>
      <c r="G12" s="71">
        <v>153500.0</v>
      </c>
      <c r="H12" s="8">
        <f t="shared" si="2"/>
        <v>832268</v>
      </c>
      <c r="I12" s="1">
        <f>'ต.ค.68'!G12+H12</f>
        <v>1749241</v>
      </c>
      <c r="J12" s="8">
        <f t="shared" ref="J12:K12" si="10">(H12/D12)*100</f>
        <v>30.6279843</v>
      </c>
      <c r="K12" s="67">
        <f t="shared" si="10"/>
        <v>31.56423538</v>
      </c>
      <c r="L12" s="8"/>
      <c r="M12" s="71" t="s">
        <v>78</v>
      </c>
      <c r="N12" s="80" t="s">
        <v>79</v>
      </c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856948.5</v>
      </c>
      <c r="D13" s="71">
        <v>743506.0</v>
      </c>
      <c r="E13" s="1">
        <f>'ต.ค.68'!D13+D13</f>
        <v>1533686</v>
      </c>
      <c r="F13" s="71">
        <v>553810.0</v>
      </c>
      <c r="G13" s="71">
        <v>3573.0</v>
      </c>
      <c r="H13" s="8">
        <f t="shared" si="2"/>
        <v>186123</v>
      </c>
      <c r="I13" s="1">
        <f>'ต.ค.68'!G13+H13</f>
        <v>423352</v>
      </c>
      <c r="J13" s="8">
        <f t="shared" ref="J13:K13" si="11">(H13/D13)*100</f>
        <v>25.03315373</v>
      </c>
      <c r="K13" s="67">
        <f t="shared" si="11"/>
        <v>27.60356422</v>
      </c>
      <c r="L13" s="8"/>
      <c r="M13" s="8"/>
      <c r="N13" s="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2087249.0</v>
      </c>
      <c r="D14" s="71">
        <v>1881047.0</v>
      </c>
      <c r="E14" s="1">
        <f>'ต.ค.68'!D14+D14</f>
        <v>3862498</v>
      </c>
      <c r="F14" s="71">
        <v>1625680.0</v>
      </c>
      <c r="G14" s="71">
        <v>86208.0</v>
      </c>
      <c r="H14" s="8">
        <f t="shared" si="2"/>
        <v>169159</v>
      </c>
      <c r="I14" s="1">
        <f>'ต.ค.68'!G14+H14</f>
        <v>487730</v>
      </c>
      <c r="J14" s="8">
        <f t="shared" ref="J14:K14" si="12">(H14/D14)*100</f>
        <v>8.992810919</v>
      </c>
      <c r="K14" s="67">
        <f t="shared" si="12"/>
        <v>12.62732045</v>
      </c>
      <c r="L14" s="8"/>
      <c r="M14" s="71" t="s">
        <v>80</v>
      </c>
      <c r="N14" s="72" t="s">
        <v>81</v>
      </c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3467137.0</v>
      </c>
      <c r="D15" s="71">
        <v>3397842.0</v>
      </c>
      <c r="E15" s="1">
        <f>'ต.ค.68'!D15+D15</f>
        <v>6640816</v>
      </c>
      <c r="F15" s="71">
        <v>2347266.0</v>
      </c>
      <c r="G15" s="71">
        <v>124508.0</v>
      </c>
      <c r="H15" s="8">
        <f t="shared" si="2"/>
        <v>926068</v>
      </c>
      <c r="I15" s="1">
        <f>'ต.ค.68'!G15+H15</f>
        <v>1774804</v>
      </c>
      <c r="J15" s="8">
        <f t="shared" ref="J15:K15" si="13">(H15/D15)*100</f>
        <v>27.25459277</v>
      </c>
      <c r="K15" s="67">
        <f t="shared" si="13"/>
        <v>26.72569154</v>
      </c>
      <c r="L15" s="8"/>
      <c r="M15" s="8"/>
      <c r="N15" s="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1096965.0</v>
      </c>
      <c r="D16" s="71">
        <v>838937.0</v>
      </c>
      <c r="E16" s="1">
        <f>'ต.ค.68'!D16+D16</f>
        <v>1691386</v>
      </c>
      <c r="F16" s="71">
        <v>460127.0</v>
      </c>
      <c r="G16" s="71">
        <v>16226.0</v>
      </c>
      <c r="H16" s="8">
        <f t="shared" si="2"/>
        <v>362584</v>
      </c>
      <c r="I16" s="1">
        <f>'ต.ค.68'!G16+H16</f>
        <v>790585</v>
      </c>
      <c r="J16" s="8">
        <f t="shared" ref="J16:K16" si="14">(H16/D16)*100</f>
        <v>43.2194551</v>
      </c>
      <c r="K16" s="67">
        <f t="shared" si="14"/>
        <v>46.74184367</v>
      </c>
      <c r="L16" s="8"/>
      <c r="M16" s="71" t="s">
        <v>109</v>
      </c>
      <c r="N16" s="72" t="s">
        <v>110</v>
      </c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2255045.0</v>
      </c>
      <c r="D17" s="71">
        <v>1950269.0</v>
      </c>
      <c r="E17" s="1">
        <f>'ต.ค.68'!D17+D17</f>
        <v>3962948</v>
      </c>
      <c r="F17" s="71">
        <v>1288496.0</v>
      </c>
      <c r="G17" s="71">
        <v>46274.0</v>
      </c>
      <c r="H17" s="8">
        <f t="shared" si="2"/>
        <v>615499</v>
      </c>
      <c r="I17" s="1">
        <f>'ต.ค.68'!G17+H17</f>
        <v>1288005</v>
      </c>
      <c r="J17" s="8">
        <f t="shared" ref="J17:K17" si="15">(H17/D17)*100</f>
        <v>31.55969766</v>
      </c>
      <c r="K17" s="67">
        <f t="shared" si="15"/>
        <v>32.50118346</v>
      </c>
      <c r="L17" s="8"/>
      <c r="M17" s="61" t="s">
        <v>85</v>
      </c>
      <c r="N17" s="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71">
        <v>553507.24</v>
      </c>
      <c r="D18" s="71">
        <v>539349.0</v>
      </c>
      <c r="E18" s="1">
        <f>'ต.ค.68'!D18+D18</f>
        <v>1116006</v>
      </c>
      <c r="F18" s="71">
        <v>252676.0</v>
      </c>
      <c r="G18" s="71">
        <v>5465.17</v>
      </c>
      <c r="H18" s="8">
        <f t="shared" si="2"/>
        <v>281207.83</v>
      </c>
      <c r="I18" s="1">
        <f>'ต.ค.68'!G18+H18</f>
        <v>612494.14</v>
      </c>
      <c r="J18" s="8">
        <f t="shared" ref="J18:K18" si="16">(H18/D18)*100</f>
        <v>52.13837979</v>
      </c>
      <c r="K18" s="67">
        <f t="shared" si="16"/>
        <v>54.88269239</v>
      </c>
      <c r="L18" s="8"/>
      <c r="M18" s="71" t="s">
        <v>87</v>
      </c>
      <c r="N18" s="71">
        <v>9.26658041E8</v>
      </c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1341821.38</v>
      </c>
      <c r="D19" s="71">
        <v>1212576.0</v>
      </c>
      <c r="E19" s="1">
        <f>'ต.ค.68'!D19+D19</f>
        <v>2491745</v>
      </c>
      <c r="F19" s="71">
        <v>513946.0</v>
      </c>
      <c r="G19" s="71">
        <v>14055.0</v>
      </c>
      <c r="H19" s="8">
        <f t="shared" si="2"/>
        <v>684575</v>
      </c>
      <c r="I19" s="1">
        <f>'ต.ค.68'!G19+H19</f>
        <v>1472326</v>
      </c>
      <c r="J19" s="8">
        <f t="shared" ref="J19:K19" si="17">(H19/D19)*100</f>
        <v>56.45625511</v>
      </c>
      <c r="K19" s="67">
        <f t="shared" si="17"/>
        <v>59.08814907</v>
      </c>
      <c r="L19" s="8"/>
      <c r="M19" s="8"/>
      <c r="N19" s="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191109.0</v>
      </c>
      <c r="D20" s="71">
        <v>157947.0</v>
      </c>
      <c r="E20" s="1">
        <f>'ต.ค.68'!D20+D20</f>
        <v>311363</v>
      </c>
      <c r="F20" s="71">
        <v>68926.0</v>
      </c>
      <c r="G20" s="71">
        <v>48650.0</v>
      </c>
      <c r="H20" s="8">
        <f t="shared" si="2"/>
        <v>40371</v>
      </c>
      <c r="I20" s="1">
        <f>'ต.ค.68'!G20+H20</f>
        <v>130309</v>
      </c>
      <c r="J20" s="8">
        <f t="shared" ref="J20:K20" si="18">(H20/D20)*100</f>
        <v>25.55983969</v>
      </c>
      <c r="K20" s="67">
        <f t="shared" si="18"/>
        <v>41.85115123</v>
      </c>
      <c r="L20" s="8"/>
      <c r="M20" s="8"/>
      <c r="N20" s="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615687.3</v>
      </c>
      <c r="D21" s="71">
        <v>551473.3</v>
      </c>
      <c r="E21" s="1">
        <f>'ต.ค.68'!D21+D21</f>
        <v>1137795.17</v>
      </c>
      <c r="F21" s="71">
        <v>309338.0</v>
      </c>
      <c r="G21" s="71">
        <v>32151.0</v>
      </c>
      <c r="H21" s="8">
        <f t="shared" si="2"/>
        <v>209984.3</v>
      </c>
      <c r="I21" s="1">
        <f>'ต.ค.68'!G21+H21</f>
        <v>460940.17</v>
      </c>
      <c r="J21" s="8">
        <f t="shared" ref="J21:K21" si="19">(H21/D21)*100</f>
        <v>38.07696583</v>
      </c>
      <c r="K21" s="67">
        <f t="shared" si="19"/>
        <v>40.51170036</v>
      </c>
      <c r="L21" s="8"/>
      <c r="M21" s="71" t="s">
        <v>111</v>
      </c>
      <c r="N21" s="71">
        <v>6.29252914E8</v>
      </c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178777.0</v>
      </c>
      <c r="D22" s="71">
        <v>147923.0</v>
      </c>
      <c r="E22" s="1">
        <f>'ต.ค.68'!D22+D22</f>
        <v>302002</v>
      </c>
      <c r="F22" s="71">
        <v>110803.0</v>
      </c>
      <c r="G22" s="71">
        <v>9053.47</v>
      </c>
      <c r="H22" s="8">
        <f t="shared" si="2"/>
        <v>28066.53</v>
      </c>
      <c r="I22" s="1">
        <f>'ต.ค.68'!G22+H22</f>
        <v>66071.38</v>
      </c>
      <c r="J22" s="8">
        <f t="shared" ref="J22:K22" si="20">(H22/D22)*100</f>
        <v>18.9737431</v>
      </c>
      <c r="K22" s="67">
        <f t="shared" si="20"/>
        <v>21.87779551</v>
      </c>
      <c r="L22" s="8"/>
      <c r="M22" s="81" t="s">
        <v>94</v>
      </c>
      <c r="N22" s="82" t="s">
        <v>95</v>
      </c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662958.0</v>
      </c>
      <c r="D23" s="71">
        <v>592549.0</v>
      </c>
      <c r="E23" s="1">
        <f>'ต.ค.68'!D23+D23</f>
        <v>1227367</v>
      </c>
      <c r="F23" s="71">
        <v>346829.0</v>
      </c>
      <c r="G23" s="71">
        <v>8673.0</v>
      </c>
      <c r="H23" s="8">
        <f t="shared" si="2"/>
        <v>237047</v>
      </c>
      <c r="I23" s="1">
        <f>'ต.ค.68'!G23+H23</f>
        <v>487974</v>
      </c>
      <c r="J23" s="8">
        <f t="shared" ref="J23:K23" si="21">(H23/D23)*100</f>
        <v>40.00462409</v>
      </c>
      <c r="K23" s="67">
        <f t="shared" si="21"/>
        <v>39.75779046</v>
      </c>
      <c r="L23" s="8"/>
      <c r="M23" s="8"/>
      <c r="N23" s="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1709778.0</v>
      </c>
      <c r="D24" s="71">
        <v>1615158.0</v>
      </c>
      <c r="E24" s="1">
        <f>'ต.ค.68'!D24+D24</f>
        <v>3262445</v>
      </c>
      <c r="F24" s="71">
        <v>801187.0</v>
      </c>
      <c r="G24" s="71">
        <v>16150.0</v>
      </c>
      <c r="H24" s="8">
        <f t="shared" si="2"/>
        <v>797821</v>
      </c>
      <c r="I24" s="1">
        <f>'ต.ค.68'!G24+H24</f>
        <v>1668633</v>
      </c>
      <c r="J24" s="8">
        <f t="shared" ref="J24:K24" si="22">(H24/D24)*100</f>
        <v>49.39584858</v>
      </c>
      <c r="K24" s="67">
        <f t="shared" si="22"/>
        <v>51.14670132</v>
      </c>
      <c r="L24" s="8"/>
      <c r="M24" s="8"/>
      <c r="N24" s="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555292.0</v>
      </c>
      <c r="D25" s="71">
        <v>539684.0</v>
      </c>
      <c r="E25" s="1">
        <f>'ต.ค.68'!D25+D25</f>
        <v>1083239</v>
      </c>
      <c r="F25" s="71">
        <v>310412.0</v>
      </c>
      <c r="G25" s="71">
        <v>60000.0</v>
      </c>
      <c r="H25" s="8">
        <f t="shared" si="2"/>
        <v>169272</v>
      </c>
      <c r="I25" s="1">
        <f>'ต.ค.68'!G25+H25</f>
        <v>357414</v>
      </c>
      <c r="J25" s="8">
        <f t="shared" ref="J25:K25" si="23">(H25/D25)*100</f>
        <v>31.36502101</v>
      </c>
      <c r="K25" s="67">
        <f t="shared" si="23"/>
        <v>32.99493464</v>
      </c>
      <c r="L25" s="8"/>
      <c r="M25" s="71" t="s">
        <v>98</v>
      </c>
      <c r="N25" s="72" t="s">
        <v>99</v>
      </c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43019656.72</v>
      </c>
      <c r="D26" s="18">
        <f>sum(D4:D25)</f>
        <v>40370524.09</v>
      </c>
      <c r="E26" s="85">
        <f>'ต.ค.68'!D26+D26</f>
        <v>81208282.94</v>
      </c>
      <c r="F26" s="18">
        <f t="shared" ref="F26:H26" si="24">sum(F4:F25)</f>
        <v>27970745</v>
      </c>
      <c r="G26" s="18">
        <f t="shared" si="24"/>
        <v>1562959.65</v>
      </c>
      <c r="H26" s="18">
        <f t="shared" si="24"/>
        <v>10836819.44</v>
      </c>
      <c r="I26" s="85">
        <f>'ต.ค.68'!G26+H26</f>
        <v>22968745.94</v>
      </c>
      <c r="J26" s="18">
        <f t="shared" ref="J26:K26" si="25">(H26/D26)*100</f>
        <v>26.84339548</v>
      </c>
      <c r="K26" s="18">
        <f t="shared" si="25"/>
        <v>28.2837478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1:G1000">
    <cfRule type="cellIs" dxfId="1" priority="1" operator="greaterThan">
      <formula>100000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9">
        <v>4387421.25</v>
      </c>
      <c r="D4" s="70">
        <v>5275087.5</v>
      </c>
      <c r="E4" s="1">
        <f>'พ.ย. 68'!E4+D4</f>
        <v>15345182</v>
      </c>
      <c r="F4" s="70">
        <v>4075759.0</v>
      </c>
      <c r="G4" s="70">
        <v>126353.68</v>
      </c>
      <c r="H4" s="1">
        <f t="shared" ref="H4:H25" si="2">D4-F4-G4</f>
        <v>1072974.82</v>
      </c>
      <c r="I4" s="1">
        <f>'พ.ย. 68'!I4+H4</f>
        <v>3288245.72</v>
      </c>
      <c r="J4" s="1">
        <f t="shared" ref="J4:K4" si="1">(H4/D4)*100</f>
        <v>20.34041748</v>
      </c>
      <c r="K4" s="67">
        <f t="shared" si="1"/>
        <v>21.42852213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7409047.0</v>
      </c>
      <c r="D5" s="70">
        <v>6463930.04</v>
      </c>
      <c r="E5" s="1">
        <f>'พ.ย. 68'!E5+D5</f>
        <v>19044093.34</v>
      </c>
      <c r="F5" s="70">
        <v>4699231.0</v>
      </c>
      <c r="G5" s="70">
        <v>320237.38</v>
      </c>
      <c r="H5" s="8">
        <f t="shared" si="2"/>
        <v>1444461.66</v>
      </c>
      <c r="I5" s="1">
        <f>'พ.ย. 68'!I5+H5</f>
        <v>4178554.83</v>
      </c>
      <c r="J5" s="8">
        <f t="shared" ref="J5:K5" si="3">(H5/D5)*100</f>
        <v>22.34649278</v>
      </c>
      <c r="K5" s="67">
        <f t="shared" si="3"/>
        <v>21.94147422</v>
      </c>
      <c r="L5" s="8"/>
      <c r="M5" s="72" t="s">
        <v>67</v>
      </c>
      <c r="N5" s="72" t="s">
        <v>105</v>
      </c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2262929.73</v>
      </c>
      <c r="D6" s="71">
        <v>2144191.5</v>
      </c>
      <c r="E6" s="1">
        <f>'พ.ย. 68'!E6+D6</f>
        <v>6152731.5</v>
      </c>
      <c r="F6" s="71">
        <v>1309243.0</v>
      </c>
      <c r="G6" s="71">
        <v>81241.6</v>
      </c>
      <c r="H6" s="8">
        <f t="shared" si="2"/>
        <v>753706.9</v>
      </c>
      <c r="I6" s="1">
        <f>'พ.ย. 68'!I6+H6</f>
        <v>2009403.56</v>
      </c>
      <c r="J6" s="8">
        <f t="shared" ref="J6:K6" si="4">(H6/D6)*100</f>
        <v>35.15110008</v>
      </c>
      <c r="K6" s="67">
        <f t="shared" si="4"/>
        <v>32.65872337</v>
      </c>
      <c r="L6" s="8"/>
      <c r="M6" s="68"/>
      <c r="N6" s="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3177550.0</v>
      </c>
      <c r="D7" s="71">
        <v>2323195.0</v>
      </c>
      <c r="E7" s="1">
        <f>'พ.ย. 68'!E7+D7</f>
        <v>7048186</v>
      </c>
      <c r="F7" s="71">
        <v>1711020.0</v>
      </c>
      <c r="G7" s="71">
        <v>53809.0</v>
      </c>
      <c r="H7" s="8">
        <f t="shared" si="2"/>
        <v>558366</v>
      </c>
      <c r="I7" s="1">
        <f>'พ.ย. 68'!I7+H7</f>
        <v>1709176.32</v>
      </c>
      <c r="J7" s="8">
        <f t="shared" ref="J7:K7" si="5">(H7/D7)*100</f>
        <v>24.0344009</v>
      </c>
      <c r="K7" s="67">
        <f t="shared" si="5"/>
        <v>24.24987536</v>
      </c>
      <c r="L7" s="8"/>
      <c r="M7" s="72" t="s">
        <v>69</v>
      </c>
      <c r="N7" s="72" t="s">
        <v>70</v>
      </c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2620626.0</v>
      </c>
      <c r="D8" s="86">
        <v>2807298.67</v>
      </c>
      <c r="E8" s="1">
        <f>'พ.ย. 68'!E8+D8</f>
        <v>8095410.64</v>
      </c>
      <c r="F8" s="87">
        <v>1534886.0</v>
      </c>
      <c r="G8" s="71">
        <v>215000.0</v>
      </c>
      <c r="H8" s="8">
        <f t="shared" si="2"/>
        <v>1057412.67</v>
      </c>
      <c r="I8" s="1">
        <f>'พ.ย. 68'!I8+H8</f>
        <v>2919861.64</v>
      </c>
      <c r="J8" s="8">
        <f t="shared" ref="J8:K8" si="6">(H8/D8)*100</f>
        <v>37.66655402</v>
      </c>
      <c r="K8" s="67">
        <f t="shared" si="6"/>
        <v>36.06811031</v>
      </c>
      <c r="L8" s="8"/>
      <c r="M8" s="72" t="s">
        <v>71</v>
      </c>
      <c r="N8" s="72" t="s">
        <v>112</v>
      </c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  <c r="AA8" s="58"/>
      <c r="AB8" s="58"/>
      <c r="AC8" s="58"/>
    </row>
    <row r="9">
      <c r="A9" s="64">
        <v>6.0</v>
      </c>
      <c r="B9" s="65" t="s">
        <v>32</v>
      </c>
      <c r="C9" s="73">
        <v>2918760.0</v>
      </c>
      <c r="D9" s="73">
        <v>2880735.0</v>
      </c>
      <c r="E9" s="1">
        <f>'พ.ย. 68'!E9+D9</f>
        <v>8501497</v>
      </c>
      <c r="F9" s="73">
        <v>1990782.0</v>
      </c>
      <c r="G9" s="73">
        <v>63598.0</v>
      </c>
      <c r="H9" s="8">
        <f t="shared" si="2"/>
        <v>826355</v>
      </c>
      <c r="I9" s="1">
        <f>'พ.ย. 68'!I9+H9</f>
        <v>2273826</v>
      </c>
      <c r="J9" s="8">
        <f t="shared" ref="J9:K9" si="7">(H9/D9)*100</f>
        <v>28.68556115</v>
      </c>
      <c r="K9" s="67">
        <f t="shared" si="7"/>
        <v>26.74618364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1081108.3</v>
      </c>
      <c r="D10" s="77">
        <v>1071268.0</v>
      </c>
      <c r="E10" s="1">
        <f>'พ.ย. 68'!E10+D10</f>
        <v>3152294</v>
      </c>
      <c r="F10" s="77">
        <f>951200+349</f>
        <v>951549</v>
      </c>
      <c r="G10" s="77">
        <v>49525.0</v>
      </c>
      <c r="H10" s="16">
        <f t="shared" si="2"/>
        <v>70194</v>
      </c>
      <c r="I10" s="1">
        <f>'พ.ย. 68'!I10+H10</f>
        <v>294827.55</v>
      </c>
      <c r="J10" s="16">
        <f t="shared" ref="J10:K10" si="8">(H10/D10)*100</f>
        <v>6.55242199</v>
      </c>
      <c r="K10" s="67">
        <f t="shared" si="8"/>
        <v>9.352793553</v>
      </c>
      <c r="L10" s="16"/>
      <c r="M10" s="79" t="s">
        <v>74</v>
      </c>
      <c r="N10" s="79" t="s">
        <v>107</v>
      </c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1378190.0</v>
      </c>
      <c r="D11" s="71">
        <v>1367912.0</v>
      </c>
      <c r="E11" s="1">
        <f>'พ.ย. 68'!E11+D11</f>
        <v>4037365</v>
      </c>
      <c r="F11" s="71">
        <v>1148946.0</v>
      </c>
      <c r="G11" s="71">
        <v>43239.85</v>
      </c>
      <c r="H11" s="8">
        <f t="shared" si="2"/>
        <v>175726.15</v>
      </c>
      <c r="I11" s="1">
        <f>'พ.ย. 68'!I11+H11</f>
        <v>484168.83</v>
      </c>
      <c r="J11" s="8">
        <f t="shared" ref="J11:K11" si="9">(H11/D11)*100</f>
        <v>12.84630517</v>
      </c>
      <c r="K11" s="67">
        <f t="shared" si="9"/>
        <v>11.99219862</v>
      </c>
      <c r="L11" s="8"/>
      <c r="M11" s="72" t="s">
        <v>76</v>
      </c>
      <c r="N11" s="72" t="s">
        <v>108</v>
      </c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3215311.0</v>
      </c>
      <c r="D12" s="71">
        <v>2858526.0</v>
      </c>
      <c r="E12" s="1">
        <f>'พ.ย. 68'!E12+D12</f>
        <v>8400371</v>
      </c>
      <c r="F12" s="71">
        <v>1788793.0</v>
      </c>
      <c r="G12" s="71">
        <v>198800.0</v>
      </c>
      <c r="H12" s="8">
        <f t="shared" si="2"/>
        <v>870933</v>
      </c>
      <c r="I12" s="1">
        <f>'พ.ย. 68'!I12+H12</f>
        <v>2620174</v>
      </c>
      <c r="J12" s="8">
        <f t="shared" ref="J12:K12" si="10">(H12/D12)*100</f>
        <v>30.46790549</v>
      </c>
      <c r="K12" s="67">
        <f t="shared" si="10"/>
        <v>31.19117001</v>
      </c>
      <c r="L12" s="8"/>
      <c r="M12" s="72" t="s">
        <v>78</v>
      </c>
      <c r="N12" s="80" t="s">
        <v>79</v>
      </c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1054251.3</v>
      </c>
      <c r="D13" s="71">
        <v>897097.0</v>
      </c>
      <c r="E13" s="1">
        <f>'พ.ย. 68'!E13+D13</f>
        <v>2430783</v>
      </c>
      <c r="F13" s="71">
        <v>554946.0</v>
      </c>
      <c r="G13" s="71">
        <v>78674.2</v>
      </c>
      <c r="H13" s="8">
        <f t="shared" si="2"/>
        <v>263476.8</v>
      </c>
      <c r="I13" s="1">
        <f>'พ.ย. 68'!I13+H13</f>
        <v>686828.8</v>
      </c>
      <c r="J13" s="8">
        <f t="shared" ref="J13:K13" si="11">(H13/D13)*100</f>
        <v>29.36993435</v>
      </c>
      <c r="K13" s="67">
        <f t="shared" si="11"/>
        <v>28.25545514</v>
      </c>
      <c r="L13" s="8"/>
      <c r="M13" s="68"/>
      <c r="N13" s="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2162587.0</v>
      </c>
      <c r="D14" s="71">
        <v>1968890.0</v>
      </c>
      <c r="E14" s="1">
        <f>'พ.ย. 68'!E14+D14</f>
        <v>5831388</v>
      </c>
      <c r="F14" s="71">
        <v>1605048.0</v>
      </c>
      <c r="G14" s="71">
        <v>86211.0</v>
      </c>
      <c r="H14" s="8">
        <f t="shared" si="2"/>
        <v>277631</v>
      </c>
      <c r="I14" s="1">
        <f>'พ.ย. 68'!I14+H14</f>
        <v>765361</v>
      </c>
      <c r="J14" s="8">
        <f t="shared" ref="J14:K14" si="12">(H14/D14)*100</f>
        <v>14.10088933</v>
      </c>
      <c r="K14" s="67">
        <f t="shared" si="12"/>
        <v>13.12485124</v>
      </c>
      <c r="L14" s="8"/>
      <c r="M14" s="72" t="s">
        <v>80</v>
      </c>
      <c r="N14" s="72" t="s">
        <v>81</v>
      </c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3657519.0</v>
      </c>
      <c r="D15" s="71">
        <v>3451851.0</v>
      </c>
      <c r="E15" s="1">
        <f>'พ.ย. 68'!E15+D15</f>
        <v>10092667</v>
      </c>
      <c r="F15" s="71">
        <v>2348722.0</v>
      </c>
      <c r="G15" s="71">
        <v>126329.0</v>
      </c>
      <c r="H15" s="8">
        <f t="shared" si="2"/>
        <v>976800</v>
      </c>
      <c r="I15" s="1">
        <f>'พ.ย. 68'!I15+H15</f>
        <v>2751604</v>
      </c>
      <c r="J15" s="8">
        <f t="shared" ref="J15:K15" si="13">(H15/D15)*100</f>
        <v>28.29786106</v>
      </c>
      <c r="K15" s="67">
        <f t="shared" si="13"/>
        <v>27.26339827</v>
      </c>
      <c r="L15" s="8"/>
      <c r="M15" s="68"/>
      <c r="N15" s="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1121588.0</v>
      </c>
      <c r="D16" s="71">
        <v>859679.0</v>
      </c>
      <c r="E16" s="1">
        <f>'พ.ย. 68'!E16+D16</f>
        <v>2551065</v>
      </c>
      <c r="F16" s="71">
        <v>520776.0</v>
      </c>
      <c r="G16" s="71">
        <v>18742.0</v>
      </c>
      <c r="H16" s="8">
        <f t="shared" si="2"/>
        <v>320161</v>
      </c>
      <c r="I16" s="1">
        <f>'พ.ย. 68'!I16+H16</f>
        <v>1110746</v>
      </c>
      <c r="J16" s="8">
        <f t="shared" ref="J16:K16" si="14">(H16/D16)*100</f>
        <v>37.24192402</v>
      </c>
      <c r="K16" s="67">
        <f t="shared" si="14"/>
        <v>43.54048211</v>
      </c>
      <c r="L16" s="8"/>
      <c r="M16" s="72" t="s">
        <v>109</v>
      </c>
      <c r="N16" s="72" t="s">
        <v>110</v>
      </c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2258036.0</v>
      </c>
      <c r="D17" s="71">
        <v>2027019.11</v>
      </c>
      <c r="E17" s="1">
        <f>'พ.ย. 68'!E17+D17</f>
        <v>5989967.11</v>
      </c>
      <c r="F17" s="71">
        <v>1317325.0</v>
      </c>
      <c r="G17" s="71">
        <v>52178.0</v>
      </c>
      <c r="H17" s="8">
        <f t="shared" si="2"/>
        <v>657516.11</v>
      </c>
      <c r="I17" s="1">
        <f>'พ.ย. 68'!I17+H17</f>
        <v>1945521.11</v>
      </c>
      <c r="J17" s="8">
        <f t="shared" ref="J17:K17" si="15">(H17/D17)*100</f>
        <v>32.43758812</v>
      </c>
      <c r="K17" s="67">
        <f t="shared" si="15"/>
        <v>32.47966265</v>
      </c>
      <c r="L17" s="8"/>
      <c r="M17" s="72" t="s">
        <v>85</v>
      </c>
      <c r="N17" s="88" t="s">
        <v>113</v>
      </c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89">
        <v>599869.53</v>
      </c>
      <c r="D18" s="89">
        <v>576495.0</v>
      </c>
      <c r="E18" s="1">
        <f>'พ.ย. 68'!E18+D18</f>
        <v>1692501</v>
      </c>
      <c r="F18" s="89">
        <v>245566.0</v>
      </c>
      <c r="G18" s="89">
        <v>11940.34</v>
      </c>
      <c r="H18" s="8">
        <f t="shared" si="2"/>
        <v>318988.66</v>
      </c>
      <c r="I18" s="1">
        <f>'พ.ย. 68'!I18+H18</f>
        <v>931482.8</v>
      </c>
      <c r="J18" s="8">
        <f t="shared" ref="J18:K18" si="16">(H18/D18)*100</f>
        <v>55.33242439</v>
      </c>
      <c r="K18" s="67">
        <f t="shared" si="16"/>
        <v>55.03587886</v>
      </c>
      <c r="L18" s="8"/>
      <c r="M18" s="72" t="s">
        <v>87</v>
      </c>
      <c r="N18" s="71">
        <v>9.26658041E8</v>
      </c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1684251.38</v>
      </c>
      <c r="D19" s="71">
        <v>1310248.47</v>
      </c>
      <c r="E19" s="1">
        <f>'พ.ย. 68'!E19+D19</f>
        <v>3801993.47</v>
      </c>
      <c r="F19" s="71">
        <v>501822.0</v>
      </c>
      <c r="G19" s="71">
        <v>767.0</v>
      </c>
      <c r="H19" s="8">
        <f t="shared" si="2"/>
        <v>807659.47</v>
      </c>
      <c r="I19" s="1">
        <f>'พ.ย. 68'!I19+H19</f>
        <v>2279985.47</v>
      </c>
      <c r="J19" s="8">
        <f t="shared" ref="J19:K19" si="17">(H19/D19)*100</f>
        <v>61.64170297</v>
      </c>
      <c r="K19" s="67">
        <f t="shared" si="17"/>
        <v>59.96815849</v>
      </c>
      <c r="L19" s="8"/>
      <c r="M19" s="72" t="s">
        <v>114</v>
      </c>
      <c r="N19" s="90">
        <v>9.70059909E8</v>
      </c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185522.0</v>
      </c>
      <c r="D20" s="71">
        <v>157947.0</v>
      </c>
      <c r="E20" s="1">
        <f>'พ.ย. 68'!E20+D20</f>
        <v>469310</v>
      </c>
      <c r="F20" s="71">
        <v>70145.0</v>
      </c>
      <c r="G20" s="71">
        <v>1833.84</v>
      </c>
      <c r="H20" s="8">
        <f t="shared" si="2"/>
        <v>85968.16</v>
      </c>
      <c r="I20" s="1">
        <f>'พ.ย. 68'!I20+H20</f>
        <v>216277.16</v>
      </c>
      <c r="J20" s="8">
        <f t="shared" ref="J20:K20" si="18">(H20/D20)*100</f>
        <v>54.4284855</v>
      </c>
      <c r="K20" s="67">
        <f t="shared" si="18"/>
        <v>46.08407236</v>
      </c>
      <c r="L20" s="8"/>
      <c r="M20" s="72" t="s">
        <v>115</v>
      </c>
      <c r="N20" s="71" t="s">
        <v>116</v>
      </c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693576.4</v>
      </c>
      <c r="D21" s="71">
        <v>605800.4</v>
      </c>
      <c r="E21" s="1">
        <f>'พ.ย. 68'!E21+D21</f>
        <v>1743595.57</v>
      </c>
      <c r="F21" s="71">
        <v>298685.0</v>
      </c>
      <c r="G21" s="71">
        <v>42519.0</v>
      </c>
      <c r="H21" s="8">
        <f t="shared" si="2"/>
        <v>264596.4</v>
      </c>
      <c r="I21" s="1">
        <f>'พ.ย. 68'!I21+H21</f>
        <v>725536.57</v>
      </c>
      <c r="J21" s="8">
        <f t="shared" ref="J21:K21" si="19">(H21/D21)*100</f>
        <v>43.67715835</v>
      </c>
      <c r="K21" s="67">
        <f t="shared" si="19"/>
        <v>41.61151717</v>
      </c>
      <c r="L21" s="8"/>
      <c r="M21" s="72" t="s">
        <v>111</v>
      </c>
      <c r="N21" s="71" t="s">
        <v>117</v>
      </c>
      <c r="O21" s="58"/>
      <c r="P21" s="58"/>
      <c r="Q21" s="58"/>
      <c r="R21" s="58"/>
      <c r="S21" s="58"/>
      <c r="T21" s="58"/>
      <c r="U21" s="58"/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185306.0</v>
      </c>
      <c r="D22" s="71">
        <v>155946.0</v>
      </c>
      <c r="E22" s="1">
        <f>'พ.ย. 68'!E22+D22</f>
        <v>457948</v>
      </c>
      <c r="F22" s="71">
        <v>109501.0</v>
      </c>
      <c r="G22" s="71">
        <v>10311.61</v>
      </c>
      <c r="H22" s="8">
        <f t="shared" si="2"/>
        <v>36133.39</v>
      </c>
      <c r="I22" s="1">
        <f>'พ.ย. 68'!I22+H22</f>
        <v>102204.77</v>
      </c>
      <c r="J22" s="8">
        <f t="shared" ref="J22:K22" si="20">(H22/D22)*100</f>
        <v>23.17045003</v>
      </c>
      <c r="K22" s="67">
        <f t="shared" si="20"/>
        <v>22.31798588</v>
      </c>
      <c r="L22" s="8"/>
      <c r="M22" s="82" t="s">
        <v>94</v>
      </c>
      <c r="N22" s="82" t="s">
        <v>95</v>
      </c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629762.0</v>
      </c>
      <c r="D23" s="71">
        <v>510939.0</v>
      </c>
      <c r="E23" s="1">
        <f>'พ.ย. 68'!E23+D23</f>
        <v>1738306</v>
      </c>
      <c r="F23" s="71">
        <v>282003.0</v>
      </c>
      <c r="G23" s="71">
        <v>8453.0</v>
      </c>
      <c r="H23" s="8">
        <f t="shared" si="2"/>
        <v>220483</v>
      </c>
      <c r="I23" s="1">
        <f>'พ.ย. 68'!I23+H23</f>
        <v>708457</v>
      </c>
      <c r="J23" s="8">
        <f t="shared" ref="J23:K23" si="21">(H23/D23)*100</f>
        <v>43.1525094</v>
      </c>
      <c r="K23" s="67">
        <f t="shared" si="21"/>
        <v>40.75559769</v>
      </c>
      <c r="L23" s="8"/>
      <c r="M23" s="72"/>
      <c r="N23" s="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1765582.0</v>
      </c>
      <c r="D24" s="71">
        <v>1561747.0</v>
      </c>
      <c r="E24" s="1">
        <f>'พ.ย. 68'!E24+D24</f>
        <v>4824192</v>
      </c>
      <c r="F24" s="71">
        <v>800856.0</v>
      </c>
      <c r="G24" s="71">
        <v>16650.0</v>
      </c>
      <c r="H24" s="8">
        <f t="shared" si="2"/>
        <v>744241</v>
      </c>
      <c r="I24" s="1">
        <f>'พ.ย. 68'!I24+H24</f>
        <v>2412874</v>
      </c>
      <c r="J24" s="8">
        <f t="shared" ref="J24:K24" si="22">(H24/D24)*100</f>
        <v>47.6543896</v>
      </c>
      <c r="K24" s="67">
        <f t="shared" si="22"/>
        <v>50.01612705</v>
      </c>
      <c r="L24" s="8"/>
      <c r="M24" s="72" t="s">
        <v>118</v>
      </c>
      <c r="N24" s="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571025.0</v>
      </c>
      <c r="D25" s="71">
        <v>565536.0</v>
      </c>
      <c r="E25" s="1">
        <f>'พ.ย. 68'!E25+D25</f>
        <v>1648775</v>
      </c>
      <c r="F25" s="71">
        <v>311616.0</v>
      </c>
      <c r="G25" s="71">
        <v>68000.0</v>
      </c>
      <c r="H25" s="8">
        <f t="shared" si="2"/>
        <v>185920</v>
      </c>
      <c r="I25" s="1">
        <f>'พ.ย. 68'!I25+H25</f>
        <v>543334</v>
      </c>
      <c r="J25" s="8">
        <f t="shared" ref="J25:K25" si="23">(H25/D25)*100</f>
        <v>32.87500707</v>
      </c>
      <c r="K25" s="67">
        <f t="shared" si="23"/>
        <v>32.95379903</v>
      </c>
      <c r="L25" s="8"/>
      <c r="M25" s="72" t="s">
        <v>98</v>
      </c>
      <c r="N25" s="72" t="s">
        <v>99</v>
      </c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45019818.89</v>
      </c>
      <c r="D26" s="18">
        <f>sum(D4:D25)</f>
        <v>41841338.69</v>
      </c>
      <c r="E26" s="85">
        <f>SUM(E4:E25)</f>
        <v>123049621.6</v>
      </c>
      <c r="F26" s="18">
        <f t="shared" ref="F26:H26" si="24">sum(F4:F25)</f>
        <v>28177220</v>
      </c>
      <c r="G26" s="18">
        <f t="shared" si="24"/>
        <v>1674413.5</v>
      </c>
      <c r="H26" s="18">
        <f t="shared" si="24"/>
        <v>11989705.19</v>
      </c>
      <c r="I26" s="85">
        <f>'พ.ย. 68'!I26+H26</f>
        <v>34958451.13</v>
      </c>
      <c r="J26" s="18">
        <f t="shared" ref="J26:K26" si="25">(H26/D26)*100</f>
        <v>28.65516631</v>
      </c>
      <c r="K26" s="18">
        <f t="shared" si="25"/>
        <v>28.41004358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 t="s">
        <v>52</v>
      </c>
      <c r="B2" s="59" t="s">
        <v>53</v>
      </c>
      <c r="C2" s="60" t="s">
        <v>54</v>
      </c>
      <c r="D2" s="60" t="s">
        <v>55</v>
      </c>
      <c r="E2" s="61" t="s">
        <v>102</v>
      </c>
      <c r="F2" s="60" t="s">
        <v>56</v>
      </c>
      <c r="G2" s="60" t="s">
        <v>57</v>
      </c>
      <c r="H2" s="62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>
      <c r="A3" s="34"/>
      <c r="B3" s="34"/>
      <c r="C3" s="60" t="s">
        <v>62</v>
      </c>
      <c r="D3" s="60" t="s">
        <v>62</v>
      </c>
      <c r="E3" s="60" t="s">
        <v>62</v>
      </c>
      <c r="F3" s="60" t="s">
        <v>62</v>
      </c>
      <c r="G3" s="60" t="s">
        <v>62</v>
      </c>
      <c r="H3" s="60" t="s">
        <v>63</v>
      </c>
      <c r="I3" s="61" t="s">
        <v>103</v>
      </c>
      <c r="J3" s="60" t="s">
        <v>64</v>
      </c>
      <c r="K3" s="61" t="s">
        <v>104</v>
      </c>
      <c r="L3" s="34"/>
      <c r="M3" s="34"/>
      <c r="N3" s="34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4">
        <f t="array" ref="A4:A25">SEQUENCE(22,1)</f>
        <v>1</v>
      </c>
      <c r="B4" s="65" t="s">
        <v>27</v>
      </c>
      <c r="C4" s="69">
        <v>4445468.0</v>
      </c>
      <c r="D4" s="70">
        <v>5374762.5</v>
      </c>
      <c r="E4" s="1">
        <f>'ธ.ค. 68'!E4+D4</f>
        <v>20719944.5</v>
      </c>
      <c r="F4" s="70">
        <v>3854686.0</v>
      </c>
      <c r="G4" s="70">
        <v>211460.19</v>
      </c>
      <c r="H4" s="1">
        <f t="shared" ref="H4:H25" si="2">D4-F4-G4</f>
        <v>1308616.31</v>
      </c>
      <c r="I4" s="91">
        <f>'ธ.ค. 68'!I4+H4</f>
        <v>4596862.03</v>
      </c>
      <c r="J4" s="1">
        <f t="shared" ref="J4:K4" si="1">(H4/D4)*100</f>
        <v>24.34742577</v>
      </c>
      <c r="K4" s="67">
        <f t="shared" si="1"/>
        <v>22.18568698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>
        <v>1580443.5</v>
      </c>
      <c r="T4" s="58">
        <v>29.40489928624753</v>
      </c>
      <c r="U4" s="58">
        <v>23.49759778555391</v>
      </c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7227150.0</v>
      </c>
      <c r="D5" s="70">
        <v>6656927.03</v>
      </c>
      <c r="E5" s="1">
        <f>'ธ.ค. 68'!E5+D5</f>
        <v>25701020.37</v>
      </c>
      <c r="F5" s="70">
        <v>5069208.0</v>
      </c>
      <c r="G5" s="70">
        <v>238520.62</v>
      </c>
      <c r="H5" s="8">
        <f t="shared" si="2"/>
        <v>1349198.41</v>
      </c>
      <c r="I5" s="91">
        <f>'ธ.ค. 68'!I5+H5</f>
        <v>5527753.24</v>
      </c>
      <c r="J5" s="8">
        <f t="shared" ref="J5:K5" si="3">(H5/D5)*100</f>
        <v>20.26758599</v>
      </c>
      <c r="K5" s="67">
        <f t="shared" si="3"/>
        <v>21.50791354</v>
      </c>
      <c r="L5" s="8"/>
      <c r="M5" s="72" t="s">
        <v>67</v>
      </c>
      <c r="N5" s="72" t="s">
        <v>105</v>
      </c>
      <c r="O5" s="58"/>
      <c r="P5" s="58"/>
      <c r="Q5" s="58"/>
      <c r="R5" s="58"/>
      <c r="S5" s="58">
        <v>0.0</v>
      </c>
      <c r="T5" s="58" t="e">
        <v>#DIV/0!</v>
      </c>
      <c r="U5" s="58">
        <v>21.941474216697994</v>
      </c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2204136.02</v>
      </c>
      <c r="D6" s="71">
        <v>2064267.5</v>
      </c>
      <c r="E6" s="1">
        <f>'ธ.ค. 68'!E6+D6</f>
        <v>8216999</v>
      </c>
      <c r="F6" s="71">
        <v>1391155.0</v>
      </c>
      <c r="G6" s="71">
        <v>82904.89</v>
      </c>
      <c r="H6" s="8">
        <f t="shared" si="2"/>
        <v>590207.61</v>
      </c>
      <c r="I6" s="91">
        <f>'ธ.ค. 68'!I6+H6</f>
        <v>2599611.17</v>
      </c>
      <c r="J6" s="8">
        <f t="shared" ref="J6:K6" si="4">(H6/D6)*100</f>
        <v>28.59162439</v>
      </c>
      <c r="K6" s="67">
        <f t="shared" si="4"/>
        <v>31.63699022</v>
      </c>
      <c r="L6" s="8"/>
      <c r="M6" s="68"/>
      <c r="N6" s="8"/>
      <c r="O6" s="58"/>
      <c r="P6" s="58"/>
      <c r="Q6" s="58"/>
      <c r="R6" s="58"/>
      <c r="S6" s="58">
        <v>590207.61</v>
      </c>
      <c r="T6" s="58">
        <v>28.591624389765375</v>
      </c>
      <c r="U6" s="58">
        <v>31.63699021990875</v>
      </c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3073277.0</v>
      </c>
      <c r="D7" s="71">
        <v>2260683.0</v>
      </c>
      <c r="E7" s="1">
        <f>'ธ.ค. 68'!E7+D7</f>
        <v>9308869</v>
      </c>
      <c r="F7" s="71">
        <v>1781279.0</v>
      </c>
      <c r="G7" s="71">
        <v>35217.0</v>
      </c>
      <c r="H7" s="8">
        <f t="shared" si="2"/>
        <v>444187</v>
      </c>
      <c r="I7" s="91">
        <f>'ธ.ค. 68'!I7+H7</f>
        <v>2153363.32</v>
      </c>
      <c r="J7" s="8">
        <f t="shared" ref="J7:K7" si="5">(H7/D7)*100</f>
        <v>19.64835406</v>
      </c>
      <c r="K7" s="67">
        <f t="shared" si="5"/>
        <v>23.13238397</v>
      </c>
      <c r="L7" s="8"/>
      <c r="M7" s="72"/>
      <c r="N7" s="72" t="s">
        <v>70</v>
      </c>
      <c r="O7" s="58"/>
      <c r="P7" s="58"/>
      <c r="Q7" s="58"/>
      <c r="R7" s="58"/>
      <c r="S7" s="58">
        <v>444187.0</v>
      </c>
      <c r="T7" s="58">
        <v>19.648354059370554</v>
      </c>
      <c r="U7" s="58">
        <v>23.132383966301383</v>
      </c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2524922.18</v>
      </c>
      <c r="D8" s="86">
        <v>2824975.99</v>
      </c>
      <c r="E8" s="70">
        <f>'ธ.ค. 68'!E8+D8</f>
        <v>10920386.63</v>
      </c>
      <c r="F8" s="87">
        <v>1687853.0</v>
      </c>
      <c r="G8" s="71">
        <v>270350.0</v>
      </c>
      <c r="H8" s="8">
        <f t="shared" si="2"/>
        <v>866772.99</v>
      </c>
      <c r="I8" s="91">
        <f>'ธ.ค. 68'!I8+H8</f>
        <v>3786634.63</v>
      </c>
      <c r="J8" s="8">
        <f t="shared" ref="J8:K8" si="6">(H8/D8)*100</f>
        <v>30.68249051</v>
      </c>
      <c r="K8" s="67">
        <f t="shared" si="6"/>
        <v>34.67491361</v>
      </c>
      <c r="L8" s="71"/>
      <c r="M8" s="72" t="s">
        <v>119</v>
      </c>
      <c r="N8" s="72" t="s">
        <v>112</v>
      </c>
      <c r="O8" s="58"/>
      <c r="P8" s="58"/>
      <c r="Q8" s="58"/>
      <c r="R8" s="58"/>
      <c r="S8" s="58">
        <v>866772.9900000002</v>
      </c>
      <c r="T8" s="58">
        <v>30.68249050852996</v>
      </c>
      <c r="U8" s="58">
        <v>34.674913611552235</v>
      </c>
      <c r="V8" s="58"/>
      <c r="W8" s="58"/>
      <c r="X8" s="58"/>
      <c r="Y8" s="58"/>
      <c r="Z8" s="58"/>
      <c r="AA8" s="58"/>
      <c r="AB8" s="58"/>
      <c r="AC8" s="58"/>
    </row>
    <row r="9" ht="21.0" customHeight="1">
      <c r="A9" s="64">
        <v>6.0</v>
      </c>
      <c r="B9" s="65" t="s">
        <v>32</v>
      </c>
      <c r="C9" s="73">
        <v>2913612.0</v>
      </c>
      <c r="D9" s="73">
        <v>2871872.0</v>
      </c>
      <c r="E9" s="1">
        <f>'ธ.ค. 68'!E9+D9</f>
        <v>11373369</v>
      </c>
      <c r="F9" s="73">
        <v>2109230.0</v>
      </c>
      <c r="G9" s="73">
        <v>62658.0</v>
      </c>
      <c r="H9" s="8">
        <f t="shared" si="2"/>
        <v>699984</v>
      </c>
      <c r="I9" s="91">
        <f>'ธ.ค. 68'!I9+H9</f>
        <v>2973810</v>
      </c>
      <c r="J9" s="8">
        <f t="shared" ref="J9:K9" si="7">(H9/D9)*100</f>
        <v>24.37378825</v>
      </c>
      <c r="K9" s="67">
        <f t="shared" si="7"/>
        <v>26.14713371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>
        <v>699984.0</v>
      </c>
      <c r="T9" s="58">
        <v>24.373788246829942</v>
      </c>
      <c r="U9" s="58">
        <v>26.147133712095332</v>
      </c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1080260.3</v>
      </c>
      <c r="D10" s="77">
        <v>1056784.0</v>
      </c>
      <c r="E10" s="1">
        <f>'ธ.ค. 68'!E10+D10</f>
        <v>4209078</v>
      </c>
      <c r="F10" s="77">
        <v>897940.0</v>
      </c>
      <c r="G10" s="77">
        <v>44051.42</v>
      </c>
      <c r="H10" s="16">
        <f t="shared" si="2"/>
        <v>114792.58</v>
      </c>
      <c r="I10" s="91">
        <f>'ธ.ค. 68'!I10+H10</f>
        <v>409620.13</v>
      </c>
      <c r="J10" s="16">
        <f t="shared" ref="J10:K10" si="8">(H10/D10)*100</f>
        <v>10.86244493</v>
      </c>
      <c r="K10" s="67">
        <f t="shared" si="8"/>
        <v>9.731825592</v>
      </c>
      <c r="L10" s="16"/>
      <c r="M10" s="79" t="s">
        <v>74</v>
      </c>
      <c r="N10" s="79" t="s">
        <v>75</v>
      </c>
      <c r="O10" s="58"/>
      <c r="P10" s="58"/>
      <c r="Q10" s="58"/>
      <c r="R10" s="58"/>
      <c r="S10" s="58">
        <v>114792.58</v>
      </c>
      <c r="T10" s="58">
        <v>10.86244492725098</v>
      </c>
      <c r="U10" s="58">
        <v>9.731825592208079</v>
      </c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1397452.0</v>
      </c>
      <c r="D11" s="71">
        <v>1395532.0</v>
      </c>
      <c r="E11" s="1">
        <f>'ธ.ค. 68'!E11+D11</f>
        <v>5432897</v>
      </c>
      <c r="F11" s="71">
        <v>1214781.0</v>
      </c>
      <c r="G11" s="92">
        <v>42820.03</v>
      </c>
      <c r="H11" s="8">
        <f t="shared" si="2"/>
        <v>137930.97</v>
      </c>
      <c r="I11" s="91">
        <f>'ธ.ค. 68'!I11+H11</f>
        <v>622099.8</v>
      </c>
      <c r="J11" s="8">
        <f t="shared" ref="J11:K11" si="9">(H11/D11)*100</f>
        <v>9.883755442</v>
      </c>
      <c r="K11" s="67">
        <f t="shared" si="9"/>
        <v>11.45060913</v>
      </c>
      <c r="L11" s="71"/>
      <c r="M11" s="72"/>
      <c r="N11" s="72" t="s">
        <v>108</v>
      </c>
      <c r="O11" s="58"/>
      <c r="P11" s="58"/>
      <c r="Q11" s="58"/>
      <c r="R11" s="58"/>
      <c r="S11" s="58">
        <v>137930.97</v>
      </c>
      <c r="T11" s="58">
        <v>9.883755442368932</v>
      </c>
      <c r="U11" s="58">
        <v>11.450609131739474</v>
      </c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3059258.0</v>
      </c>
      <c r="D12" s="71">
        <v>2805904.0</v>
      </c>
      <c r="E12" s="1">
        <f>'ธ.ค. 68'!E12+D12</f>
        <v>11206275</v>
      </c>
      <c r="F12" s="71">
        <v>1830724.0</v>
      </c>
      <c r="G12" s="71">
        <v>185000.0</v>
      </c>
      <c r="H12" s="8">
        <f t="shared" si="2"/>
        <v>790180</v>
      </c>
      <c r="I12" s="91">
        <f>'ธ.ค. 68'!I12+H12</f>
        <v>3410354</v>
      </c>
      <c r="J12" s="8">
        <f t="shared" ref="J12:K12" si="10">(H12/D12)*100</f>
        <v>28.1613341</v>
      </c>
      <c r="K12" s="67">
        <f t="shared" si="10"/>
        <v>30.43253891</v>
      </c>
      <c r="L12" s="8"/>
      <c r="M12" s="72"/>
      <c r="N12" s="80" t="s">
        <v>79</v>
      </c>
      <c r="O12" s="58"/>
      <c r="P12" s="58"/>
      <c r="Q12" s="58"/>
      <c r="R12" s="58"/>
      <c r="S12" s="58">
        <v>790180.0</v>
      </c>
      <c r="T12" s="58">
        <v>28.161334101237962</v>
      </c>
      <c r="U12" s="58">
        <v>30.43253891235045</v>
      </c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967202.41</v>
      </c>
      <c r="D13" s="71">
        <v>922955.0</v>
      </c>
      <c r="E13" s="1">
        <f>'ธ.ค. 68'!E13+D13</f>
        <v>3353738</v>
      </c>
      <c r="F13" s="71">
        <v>599330.0</v>
      </c>
      <c r="G13" s="71">
        <v>57850.0</v>
      </c>
      <c r="H13" s="8">
        <f t="shared" si="2"/>
        <v>265775</v>
      </c>
      <c r="I13" s="91">
        <f>'ธ.ค. 68'!I13+H13</f>
        <v>952603.8</v>
      </c>
      <c r="J13" s="8">
        <f t="shared" ref="J13:K13" si="11">(H13/D13)*100</f>
        <v>28.79609515</v>
      </c>
      <c r="K13" s="67">
        <f t="shared" si="11"/>
        <v>28.40424028</v>
      </c>
      <c r="L13" s="8"/>
      <c r="M13" s="68"/>
      <c r="N13" s="8"/>
      <c r="O13" s="58"/>
      <c r="P13" s="58"/>
      <c r="Q13" s="58"/>
      <c r="R13" s="58"/>
      <c r="S13" s="58">
        <v>265775.0</v>
      </c>
      <c r="T13" s="58">
        <v>28.79609515090118</v>
      </c>
      <c r="U13" s="58">
        <v>28.40424028352841</v>
      </c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2139977.0</v>
      </c>
      <c r="D14" s="71">
        <v>1932277.0</v>
      </c>
      <c r="E14" s="1">
        <f>'ธ.ค. 68'!E14+D14</f>
        <v>7763665</v>
      </c>
      <c r="F14" s="71">
        <v>1761969.0</v>
      </c>
      <c r="G14" s="71">
        <v>20256.0</v>
      </c>
      <c r="H14" s="8">
        <f t="shared" si="2"/>
        <v>150052</v>
      </c>
      <c r="I14" s="91">
        <f>'ธ.ค. 68'!I14+H14</f>
        <v>915413</v>
      </c>
      <c r="J14" s="8">
        <f t="shared" ref="J14:K14" si="12">(H14/D14)*100</f>
        <v>7.765553282</v>
      </c>
      <c r="K14" s="67">
        <f t="shared" si="12"/>
        <v>11.79099047</v>
      </c>
      <c r="L14" s="8"/>
      <c r="M14" s="72" t="s">
        <v>120</v>
      </c>
      <c r="N14" s="72" t="s">
        <v>81</v>
      </c>
      <c r="O14" s="58"/>
      <c r="P14" s="58"/>
      <c r="Q14" s="58"/>
      <c r="R14" s="58"/>
      <c r="S14" s="58">
        <v>0.0</v>
      </c>
      <c r="T14" s="58" t="e">
        <v>#DIV/0!</v>
      </c>
      <c r="U14" s="58">
        <v>13.124851236103652</v>
      </c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3697654.0</v>
      </c>
      <c r="D15" s="71">
        <v>3651761.0</v>
      </c>
      <c r="E15" s="1">
        <f>'ธ.ค. 68'!E15+D15</f>
        <v>13744428</v>
      </c>
      <c r="F15" s="71">
        <v>2596047.0</v>
      </c>
      <c r="G15" s="71">
        <v>113291.0</v>
      </c>
      <c r="H15" s="8">
        <f t="shared" si="2"/>
        <v>942423</v>
      </c>
      <c r="I15" s="91">
        <f>'ธ.ค. 68'!I15+H15</f>
        <v>3694027</v>
      </c>
      <c r="J15" s="8">
        <f t="shared" ref="J15:K15" si="13">(H15/D15)*100</f>
        <v>25.80735705</v>
      </c>
      <c r="K15" s="67">
        <f t="shared" si="13"/>
        <v>26.87654226</v>
      </c>
      <c r="L15" s="8"/>
      <c r="M15" s="68"/>
      <c r="N15" s="8"/>
      <c r="O15" s="58"/>
      <c r="P15" s="58"/>
      <c r="Q15" s="58"/>
      <c r="R15" s="58"/>
      <c r="S15" s="58">
        <v>942423.0</v>
      </c>
      <c r="T15" s="58">
        <v>25.807357053213504</v>
      </c>
      <c r="U15" s="58">
        <v>26.876542261344017</v>
      </c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1080260.3</v>
      </c>
      <c r="D16" s="71">
        <v>938285.0</v>
      </c>
      <c r="E16" s="1">
        <f>'ธ.ค. 68'!E16+D16</f>
        <v>3489350</v>
      </c>
      <c r="F16" s="71">
        <v>522584.0</v>
      </c>
      <c r="G16" s="71">
        <v>22849.0</v>
      </c>
      <c r="H16" s="8">
        <f t="shared" si="2"/>
        <v>392852</v>
      </c>
      <c r="I16" s="91">
        <f>'ธ.ค. 68'!I16+H16</f>
        <v>1503598</v>
      </c>
      <c r="J16" s="8">
        <f t="shared" ref="J16:K16" si="14">(H16/D16)*100</f>
        <v>41.86915489</v>
      </c>
      <c r="K16" s="67">
        <f t="shared" si="14"/>
        <v>43.09106281</v>
      </c>
      <c r="L16" s="8"/>
      <c r="M16" s="72" t="s">
        <v>109</v>
      </c>
      <c r="N16" s="72" t="s">
        <v>110</v>
      </c>
      <c r="O16" s="58"/>
      <c r="P16" s="58"/>
      <c r="Q16" s="58"/>
      <c r="R16" s="58"/>
      <c r="S16" s="58">
        <v>392880.0</v>
      </c>
      <c r="T16" s="58">
        <v>41.87213906222523</v>
      </c>
      <c r="U16" s="58">
        <v>43.09186524710906</v>
      </c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2096945.0</v>
      </c>
      <c r="D17" s="71">
        <v>2035678.0</v>
      </c>
      <c r="E17" s="1">
        <f>'ธ.ค. 68'!E17+D17</f>
        <v>8025645.11</v>
      </c>
      <c r="F17" s="93">
        <v>1333697.0</v>
      </c>
      <c r="G17" s="71">
        <v>43523.0</v>
      </c>
      <c r="H17" s="8">
        <f t="shared" si="2"/>
        <v>658458</v>
      </c>
      <c r="I17" s="91">
        <f>'ธ.ค. 68'!I17+H17</f>
        <v>2603979.11</v>
      </c>
      <c r="J17" s="8">
        <f t="shared" ref="J17:K17" si="15">(H17/D17)*100</f>
        <v>32.34588181</v>
      </c>
      <c r="K17" s="67">
        <f t="shared" si="15"/>
        <v>32.44572959</v>
      </c>
      <c r="L17" s="8"/>
      <c r="M17" s="72" t="s">
        <v>85</v>
      </c>
      <c r="N17" s="88" t="s">
        <v>113</v>
      </c>
      <c r="O17" s="58"/>
      <c r="P17" s="58"/>
      <c r="Q17" s="58"/>
      <c r="R17" s="58"/>
      <c r="S17" s="58">
        <v>0.0</v>
      </c>
      <c r="T17" s="58" t="e">
        <v>#DIV/0!</v>
      </c>
      <c r="U17" s="58">
        <v>32.53423723723919</v>
      </c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94">
        <v>632044.21</v>
      </c>
      <c r="D18" s="94">
        <v>592636.0</v>
      </c>
      <c r="E18" s="1">
        <f>'ธ.ค. 68'!E18+D18</f>
        <v>2285137</v>
      </c>
      <c r="F18" s="94">
        <v>273817.0</v>
      </c>
      <c r="G18" s="94">
        <v>15458.24</v>
      </c>
      <c r="H18" s="8">
        <f t="shared" si="2"/>
        <v>303360.76</v>
      </c>
      <c r="I18" s="91">
        <f>'ธ.ค. 68'!I18+H18</f>
        <v>1234843.56</v>
      </c>
      <c r="J18" s="8">
        <f t="shared" ref="J18:K18" si="16">(H18/D18)*100</f>
        <v>51.1883787</v>
      </c>
      <c r="K18" s="67">
        <f t="shared" si="16"/>
        <v>54.03805374</v>
      </c>
      <c r="L18" s="8"/>
      <c r="M18" s="72" t="s">
        <v>87</v>
      </c>
      <c r="N18" s="72" t="s">
        <v>88</v>
      </c>
      <c r="O18" s="58"/>
      <c r="P18" s="58"/>
      <c r="Q18" s="58"/>
      <c r="R18" s="58"/>
      <c r="S18" s="58">
        <v>303360.76</v>
      </c>
      <c r="T18" s="58">
        <v>51.18837870126013</v>
      </c>
      <c r="U18" s="58">
        <v>54.03805373594669</v>
      </c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1648417.38</v>
      </c>
      <c r="D19" s="71">
        <v>1287114.0</v>
      </c>
      <c r="E19" s="1">
        <f>'ธ.ค. 68'!E19+D19</f>
        <v>5089107.47</v>
      </c>
      <c r="F19" s="71">
        <v>573966.0</v>
      </c>
      <c r="G19" s="71">
        <v>197.0</v>
      </c>
      <c r="H19" s="8">
        <f t="shared" si="2"/>
        <v>712951</v>
      </c>
      <c r="I19" s="91">
        <f>'ธ.ค. 68'!I19+H19</f>
        <v>2992936.47</v>
      </c>
      <c r="J19" s="8">
        <f t="shared" ref="J19:K19" si="17">(H19/D19)*100</f>
        <v>55.39144163</v>
      </c>
      <c r="K19" s="67">
        <f t="shared" si="17"/>
        <v>58.810636</v>
      </c>
      <c r="L19" s="8"/>
      <c r="M19" s="72"/>
      <c r="N19" s="90">
        <v>9.70059909E8</v>
      </c>
      <c r="O19" s="58"/>
      <c r="P19" s="58"/>
      <c r="Q19" s="58"/>
      <c r="R19" s="58"/>
      <c r="S19" s="58">
        <v>712951.0</v>
      </c>
      <c r="T19" s="58">
        <v>55.391441628325076</v>
      </c>
      <c r="U19" s="58">
        <v>58.810636003330465</v>
      </c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206093.0</v>
      </c>
      <c r="D20" s="71">
        <v>172746.0</v>
      </c>
      <c r="E20" s="1">
        <f>'ธ.ค. 68'!E20+D20</f>
        <v>642056</v>
      </c>
      <c r="F20" s="71">
        <v>69431.0</v>
      </c>
      <c r="G20" s="71">
        <v>2478.0</v>
      </c>
      <c r="H20" s="8">
        <f t="shared" si="2"/>
        <v>100837</v>
      </c>
      <c r="I20" s="91">
        <f>'ธ.ค. 68'!I20+H20</f>
        <v>317114.16</v>
      </c>
      <c r="J20" s="8">
        <f t="shared" ref="J20:K20" si="18">(H20/D20)*100</f>
        <v>58.37298693</v>
      </c>
      <c r="K20" s="67">
        <f t="shared" si="18"/>
        <v>49.39042077</v>
      </c>
      <c r="L20" s="8"/>
      <c r="M20" s="72"/>
      <c r="N20" s="71" t="s">
        <v>116</v>
      </c>
      <c r="O20" s="58"/>
      <c r="P20" s="58"/>
      <c r="Q20" s="58"/>
      <c r="R20" s="58"/>
      <c r="S20" s="58">
        <v>100837.0</v>
      </c>
      <c r="T20" s="58">
        <v>58.37298692878562</v>
      </c>
      <c r="U20" s="58">
        <v>49.39042077326589</v>
      </c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681646.94</v>
      </c>
      <c r="D21" s="71">
        <v>602598.14</v>
      </c>
      <c r="E21" s="1">
        <f>'ธ.ค. 68'!E21+D21</f>
        <v>2346193.71</v>
      </c>
      <c r="F21" s="71">
        <v>339718.0</v>
      </c>
      <c r="G21" s="71">
        <v>30470.0</v>
      </c>
      <c r="H21" s="8">
        <f t="shared" si="2"/>
        <v>232410.14</v>
      </c>
      <c r="I21" s="91">
        <f>'ธ.ค. 68'!I21+H21</f>
        <v>957946.71</v>
      </c>
      <c r="J21" s="8">
        <f t="shared" ref="J21:K21" si="19">(H21/D21)*100</f>
        <v>38.56801483</v>
      </c>
      <c r="K21" s="67">
        <f t="shared" si="19"/>
        <v>40.82982176</v>
      </c>
      <c r="L21" s="8"/>
      <c r="M21" s="72" t="s">
        <v>111</v>
      </c>
      <c r="N21" s="71" t="s">
        <v>117</v>
      </c>
      <c r="O21" s="58"/>
      <c r="P21" s="58"/>
      <c r="Q21" s="58"/>
      <c r="R21" s="58"/>
      <c r="S21" s="58">
        <v>232410.14</v>
      </c>
      <c r="T21" s="58">
        <v>38.568014829916336</v>
      </c>
      <c r="U21" s="58">
        <v>40.82982176267108</v>
      </c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v>189251.0</v>
      </c>
      <c r="D22" s="71">
        <v>156605.0</v>
      </c>
      <c r="E22" s="1">
        <f>'ธ.ค. 68'!E22+D22</f>
        <v>614553</v>
      </c>
      <c r="F22" s="71">
        <v>115535.0</v>
      </c>
      <c r="G22" s="71">
        <v>9914.0</v>
      </c>
      <c r="H22" s="8">
        <f t="shared" si="2"/>
        <v>31156</v>
      </c>
      <c r="I22" s="91">
        <f>'ธ.ค. 68'!I22+H22</f>
        <v>133360.77</v>
      </c>
      <c r="J22" s="8">
        <f t="shared" ref="J22:K22" si="20">(H22/D22)*100</f>
        <v>19.89463938</v>
      </c>
      <c r="K22" s="67">
        <f t="shared" si="20"/>
        <v>21.70045057</v>
      </c>
      <c r="L22" s="8"/>
      <c r="M22" s="82" t="s">
        <v>94</v>
      </c>
      <c r="N22" s="82" t="s">
        <v>95</v>
      </c>
      <c r="O22" s="58"/>
      <c r="P22" s="58"/>
      <c r="Q22" s="58"/>
      <c r="R22" s="58"/>
      <c r="S22" s="58">
        <v>31156.0</v>
      </c>
      <c r="T22" s="58">
        <v>19.89463937933016</v>
      </c>
      <c r="U22" s="58">
        <v>21.700450571390917</v>
      </c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720084.0</v>
      </c>
      <c r="D23" s="71">
        <v>593629.0</v>
      </c>
      <c r="E23" s="1">
        <f>'ธ.ค. 68'!E23+D23</f>
        <v>2331935</v>
      </c>
      <c r="F23" s="71">
        <v>366954.0</v>
      </c>
      <c r="G23" s="71">
        <v>15486.0</v>
      </c>
      <c r="H23" s="8">
        <f t="shared" si="2"/>
        <v>211189</v>
      </c>
      <c r="I23" s="91">
        <f>'ธ.ค. 68'!I23+H23</f>
        <v>919646</v>
      </c>
      <c r="J23" s="8">
        <f t="shared" ref="J23:K23" si="21">(H23/D23)*100</f>
        <v>35.57592368</v>
      </c>
      <c r="K23" s="67">
        <f t="shared" si="21"/>
        <v>39.43703405</v>
      </c>
      <c r="L23" s="8"/>
      <c r="M23" s="72" t="s">
        <v>121</v>
      </c>
      <c r="N23" s="72" t="s">
        <v>122</v>
      </c>
      <c r="O23" s="58"/>
      <c r="P23" s="58"/>
      <c r="Q23" s="58"/>
      <c r="R23" s="58"/>
      <c r="S23" s="58">
        <v>282243.0</v>
      </c>
      <c r="T23" s="58">
        <v>42.51435130302752</v>
      </c>
      <c r="U23" s="58">
        <v>41.24165394559865</v>
      </c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1836002.0</v>
      </c>
      <c r="D24" s="71">
        <v>1681037.0</v>
      </c>
      <c r="E24" s="1">
        <f>'ธ.ค. 68'!E24+D24</f>
        <v>6505229</v>
      </c>
      <c r="F24" s="71">
        <v>832653.0</v>
      </c>
      <c r="G24" s="71">
        <v>25000.0</v>
      </c>
      <c r="H24" s="8">
        <f t="shared" si="2"/>
        <v>823384</v>
      </c>
      <c r="I24" s="91">
        <f>'ธ.ค. 68'!I24+H24</f>
        <v>3236258</v>
      </c>
      <c r="J24" s="8">
        <f t="shared" ref="J24:K24" si="22">(H24/D24)*100</f>
        <v>48.98071845</v>
      </c>
      <c r="K24" s="67">
        <f t="shared" si="22"/>
        <v>49.74856381</v>
      </c>
      <c r="L24" s="8"/>
      <c r="M24" s="72"/>
      <c r="N24" s="8"/>
      <c r="O24" s="58"/>
      <c r="P24" s="58"/>
      <c r="Q24" s="58"/>
      <c r="R24" s="58"/>
      <c r="S24" s="58">
        <v>0.0</v>
      </c>
      <c r="T24" s="58" t="e">
        <v>#DIV/0!</v>
      </c>
      <c r="U24" s="58">
        <v>50.01612705298628</v>
      </c>
      <c r="V24" s="58"/>
      <c r="W24" s="58"/>
      <c r="X24" s="58"/>
      <c r="Y24" s="58"/>
      <c r="Z24" s="58"/>
      <c r="AA24" s="58"/>
      <c r="AB24" s="58"/>
      <c r="AC24" s="58"/>
    </row>
    <row r="25">
      <c r="A25" s="64">
        <v>22.0</v>
      </c>
      <c r="B25" s="65" t="s">
        <v>48</v>
      </c>
      <c r="C25" s="71">
        <v>565043.0</v>
      </c>
      <c r="D25" s="71">
        <v>560894.0</v>
      </c>
      <c r="E25" s="1">
        <f>'ธ.ค. 68'!E25+D25</f>
        <v>2209669</v>
      </c>
      <c r="F25" s="71">
        <v>333862.0</v>
      </c>
      <c r="G25" s="71">
        <v>58002.0</v>
      </c>
      <c r="H25" s="8">
        <f t="shared" si="2"/>
        <v>169030</v>
      </c>
      <c r="I25" s="91">
        <f>'ธ.ค. 68'!I25+H25</f>
        <v>712364</v>
      </c>
      <c r="J25" s="8">
        <f t="shared" ref="J25:K25" si="23">(H25/D25)*100</f>
        <v>30.13581889</v>
      </c>
      <c r="K25" s="67">
        <f t="shared" si="23"/>
        <v>32.23849364</v>
      </c>
      <c r="L25" s="8"/>
      <c r="M25" s="72"/>
      <c r="N25" s="72" t="s">
        <v>99</v>
      </c>
      <c r="O25" s="58"/>
      <c r="P25" s="58"/>
      <c r="Q25" s="58"/>
      <c r="R25" s="58"/>
      <c r="S25" s="58">
        <v>162032.0</v>
      </c>
      <c r="T25" s="58">
        <v>28.88816781780515</v>
      </c>
      <c r="U25" s="58">
        <v>31.92179462172841</v>
      </c>
      <c r="V25" s="58"/>
      <c r="W25" s="58"/>
      <c r="X25" s="58"/>
      <c r="Y25" s="58"/>
      <c r="Z25" s="58"/>
      <c r="AA25" s="58"/>
      <c r="AB25" s="58"/>
      <c r="AC25" s="58"/>
    </row>
    <row r="26">
      <c r="A26" s="83">
        <v>23.0</v>
      </c>
      <c r="B26" s="84" t="s">
        <v>100</v>
      </c>
      <c r="C26" s="18">
        <f>SUM(C4:C25)</f>
        <v>44386155.74</v>
      </c>
      <c r="D26" s="18">
        <f>sum(D4:D25)</f>
        <v>42439923.16</v>
      </c>
      <c r="E26" s="85">
        <f>SUM(E4:E25)</f>
        <v>165489544.8</v>
      </c>
      <c r="F26" s="18">
        <f t="shared" ref="F26:H26" si="24">sum(F4:F25)</f>
        <v>29556419</v>
      </c>
      <c r="G26" s="18">
        <f t="shared" si="24"/>
        <v>1587756.39</v>
      </c>
      <c r="H26" s="18">
        <f t="shared" si="24"/>
        <v>11295747.77</v>
      </c>
      <c r="I26" s="85">
        <f>'ธ.ค. 68'!I26+H26</f>
        <v>46254198.9</v>
      </c>
      <c r="J26" s="18">
        <f t="shared" ref="J26:K26" si="25">(H26/D26)*100</f>
        <v>26.61585349</v>
      </c>
      <c r="K26" s="18">
        <f t="shared" si="25"/>
        <v>27.94992213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1.22" defaultRowHeight="15.75"/>
  <cols>
    <col customWidth="1" min="1" max="1" width="4.44"/>
    <col customWidth="1" min="3" max="3" width="15.44"/>
    <col customWidth="1" min="4" max="4" width="19.22"/>
    <col customWidth="1" min="5" max="5" width="24.33"/>
    <col customWidth="1" min="6" max="6" width="15.33"/>
    <col customWidth="1" min="7" max="8" width="17.67"/>
    <col customWidth="1" min="9" max="9" width="20.22"/>
    <col customWidth="1" min="11" max="11" width="15.44"/>
    <col customWidth="1" min="12" max="12" width="25.44"/>
    <col customWidth="1" min="13" max="13" width="23.11"/>
    <col customWidth="1" min="14" max="14" width="16.0"/>
  </cols>
  <sheetData>
    <row r="1" ht="27.75" customHeight="1">
      <c r="A1" s="57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 ht="42.75" customHeight="1">
      <c r="A2" s="63" t="s">
        <v>52</v>
      </c>
      <c r="B2" s="63" t="s">
        <v>53</v>
      </c>
      <c r="C2" s="95" t="s">
        <v>54</v>
      </c>
      <c r="D2" s="95" t="s">
        <v>55</v>
      </c>
      <c r="E2" s="96" t="s">
        <v>102</v>
      </c>
      <c r="F2" s="96" t="s">
        <v>123</v>
      </c>
      <c r="G2" s="96" t="s">
        <v>124</v>
      </c>
      <c r="H2" s="97" t="s">
        <v>58</v>
      </c>
      <c r="I2" s="4"/>
      <c r="J2" s="4"/>
      <c r="K2" s="5"/>
      <c r="L2" s="63" t="s">
        <v>59</v>
      </c>
      <c r="M2" s="63" t="s">
        <v>60</v>
      </c>
      <c r="N2" s="63" t="s">
        <v>61</v>
      </c>
      <c r="O2" s="58"/>
      <c r="P2" s="58"/>
      <c r="Q2" s="58"/>
      <c r="R2" s="58"/>
      <c r="S2" s="58"/>
      <c r="T2" s="58"/>
      <c r="U2" s="58"/>
      <c r="V2" s="58"/>
      <c r="W2" s="58"/>
      <c r="X2" s="58"/>
      <c r="Y2" s="58"/>
      <c r="Z2" s="58"/>
      <c r="AA2" s="58"/>
      <c r="AB2" s="58"/>
      <c r="AC2" s="58"/>
    </row>
    <row r="3" ht="32.25" customHeight="1">
      <c r="A3" s="34"/>
      <c r="B3" s="34"/>
      <c r="C3" s="95" t="s">
        <v>62</v>
      </c>
      <c r="D3" s="95" t="s">
        <v>62</v>
      </c>
      <c r="E3" s="95" t="s">
        <v>62</v>
      </c>
      <c r="F3" s="95" t="s">
        <v>62</v>
      </c>
      <c r="G3" s="95" t="s">
        <v>62</v>
      </c>
      <c r="H3" s="95" t="s">
        <v>63</v>
      </c>
      <c r="I3" s="96" t="s">
        <v>103</v>
      </c>
      <c r="J3" s="95" t="s">
        <v>64</v>
      </c>
      <c r="K3" s="96" t="s">
        <v>104</v>
      </c>
      <c r="L3" s="34"/>
      <c r="M3" s="34"/>
      <c r="N3" s="34"/>
      <c r="O3" s="98"/>
      <c r="P3" s="98"/>
      <c r="Q3" s="98"/>
      <c r="R3" s="98"/>
      <c r="S3" s="98"/>
      <c r="T3" s="98"/>
      <c r="U3" s="98"/>
      <c r="V3" s="98"/>
      <c r="W3" s="98"/>
      <c r="X3" s="98"/>
      <c r="Y3" s="98"/>
      <c r="Z3" s="98"/>
      <c r="AA3" s="98"/>
      <c r="AB3" s="98"/>
      <c r="AC3" s="98"/>
    </row>
    <row r="4">
      <c r="A4" s="64">
        <f t="array" ref="A4:A25">SEQUENCE(22,1)</f>
        <v>1</v>
      </c>
      <c r="B4" s="65" t="s">
        <v>27</v>
      </c>
      <c r="C4" s="69">
        <v>4140116.0</v>
      </c>
      <c r="D4" s="70">
        <v>4847033.5</v>
      </c>
      <c r="E4" s="1">
        <f>'ม.ค. 69'!E4+D4</f>
        <v>25566978</v>
      </c>
      <c r="F4" s="70">
        <v>3741724.0</v>
      </c>
      <c r="G4" s="70">
        <v>183109.17</v>
      </c>
      <c r="H4" s="1">
        <f t="shared" ref="H4:H25" si="2">D4-F4-G4</f>
        <v>922200.33</v>
      </c>
      <c r="I4" s="91">
        <f>'ม.ค. 69'!I4+H4</f>
        <v>5519062.36</v>
      </c>
      <c r="J4" s="1">
        <f t="shared" ref="J4:K4" si="1">(H4/D4)*100</f>
        <v>19.02607708</v>
      </c>
      <c r="K4" s="67">
        <f t="shared" si="1"/>
        <v>21.58668248</v>
      </c>
      <c r="L4" s="8"/>
      <c r="M4" s="68" t="s">
        <v>65</v>
      </c>
      <c r="N4" s="68" t="s">
        <v>66</v>
      </c>
      <c r="O4" s="58"/>
      <c r="P4" s="58"/>
      <c r="Q4" s="58"/>
      <c r="R4" s="58"/>
      <c r="S4" s="58">
        <v>1580443.5</v>
      </c>
      <c r="T4" s="58">
        <v>29.40489928624753</v>
      </c>
      <c r="U4" s="58">
        <v>23.49759778555391</v>
      </c>
      <c r="V4" s="58"/>
      <c r="W4" s="58"/>
      <c r="X4" s="58"/>
      <c r="Y4" s="58"/>
      <c r="Z4" s="58"/>
      <c r="AA4" s="58"/>
      <c r="AB4" s="58"/>
      <c r="AC4" s="58"/>
    </row>
    <row r="5">
      <c r="A5" s="64">
        <v>2.0</v>
      </c>
      <c r="B5" s="65" t="s">
        <v>28</v>
      </c>
      <c r="C5" s="69">
        <v>6510766.0</v>
      </c>
      <c r="D5" s="70">
        <v>6091777.79</v>
      </c>
      <c r="E5" s="1">
        <f>'ม.ค. 69'!E5+D5</f>
        <v>31792798.16</v>
      </c>
      <c r="F5" s="70">
        <v>4828765.0</v>
      </c>
      <c r="G5" s="70">
        <v>235000.0</v>
      </c>
      <c r="H5" s="8">
        <f t="shared" si="2"/>
        <v>1028012.79</v>
      </c>
      <c r="I5" s="91">
        <f>'ม.ค. 69'!I5+H5</f>
        <v>6555766.03</v>
      </c>
      <c r="J5" s="8">
        <f t="shared" ref="J5:K5" si="3">(H5/D5)*100</f>
        <v>16.87541512</v>
      </c>
      <c r="K5" s="67">
        <f t="shared" si="3"/>
        <v>20.62028638</v>
      </c>
      <c r="L5" s="8"/>
      <c r="M5" s="72" t="s">
        <v>125</v>
      </c>
      <c r="N5" s="72" t="s">
        <v>68</v>
      </c>
      <c r="O5" s="58"/>
      <c r="P5" s="58"/>
      <c r="Q5" s="58"/>
      <c r="R5" s="58"/>
      <c r="S5" s="58">
        <v>0.0</v>
      </c>
      <c r="T5" s="58" t="e">
        <v>#DIV/0!</v>
      </c>
      <c r="U5" s="58">
        <v>21.941474216697994</v>
      </c>
      <c r="V5" s="58"/>
      <c r="W5" s="58"/>
      <c r="X5" s="58"/>
      <c r="Y5" s="58"/>
      <c r="Z5" s="58"/>
      <c r="AA5" s="58"/>
      <c r="AB5" s="58"/>
      <c r="AC5" s="58"/>
    </row>
    <row r="6">
      <c r="A6" s="64">
        <v>3.0</v>
      </c>
      <c r="B6" s="65" t="s">
        <v>29</v>
      </c>
      <c r="C6" s="71">
        <v>2282069.16</v>
      </c>
      <c r="D6" s="71">
        <v>1992575.5</v>
      </c>
      <c r="E6" s="1">
        <f>'ม.ค. 69'!E6+D6</f>
        <v>10209574.5</v>
      </c>
      <c r="F6" s="71">
        <v>1334102.0</v>
      </c>
      <c r="G6" s="71">
        <v>80175.21</v>
      </c>
      <c r="H6" s="8">
        <f t="shared" si="2"/>
        <v>578298.29</v>
      </c>
      <c r="I6" s="91">
        <f>'ม.ค. 69'!I6+H6</f>
        <v>3177909.46</v>
      </c>
      <c r="J6" s="8">
        <f t="shared" ref="J6:K6" si="4">(H6/D6)*100</f>
        <v>29.02265385</v>
      </c>
      <c r="K6" s="67">
        <f t="shared" si="4"/>
        <v>31.12675714</v>
      </c>
      <c r="L6" s="8"/>
      <c r="M6" s="68"/>
      <c r="N6" s="8"/>
      <c r="O6" s="58"/>
      <c r="P6" s="58"/>
      <c r="Q6" s="58"/>
      <c r="R6" s="58"/>
      <c r="S6" s="58">
        <v>590207.61</v>
      </c>
      <c r="T6" s="58">
        <v>28.591624389765375</v>
      </c>
      <c r="U6" s="58">
        <v>31.63699021990875</v>
      </c>
      <c r="V6" s="58"/>
      <c r="W6" s="58"/>
      <c r="X6" s="58"/>
      <c r="Y6" s="58"/>
      <c r="Z6" s="58"/>
      <c r="AA6" s="58"/>
      <c r="AB6" s="58"/>
      <c r="AC6" s="58"/>
    </row>
    <row r="7">
      <c r="A7" s="64">
        <v>4.0</v>
      </c>
      <c r="B7" s="65" t="s">
        <v>30</v>
      </c>
      <c r="C7" s="71">
        <v>2254004.0</v>
      </c>
      <c r="D7" s="71">
        <v>2113465.0</v>
      </c>
      <c r="E7" s="1">
        <f>'ม.ค. 69'!E7+D7</f>
        <v>11422334</v>
      </c>
      <c r="F7" s="71">
        <v>1822176.0</v>
      </c>
      <c r="G7" s="71">
        <v>44501.97</v>
      </c>
      <c r="H7" s="8">
        <f t="shared" si="2"/>
        <v>246787.03</v>
      </c>
      <c r="I7" s="91">
        <f>'ม.ค. 69'!I7+H7</f>
        <v>2400150.35</v>
      </c>
      <c r="J7" s="8">
        <f t="shared" ref="J7:K7" si="5">(H7/D7)*100</f>
        <v>11.67689221</v>
      </c>
      <c r="K7" s="67">
        <f t="shared" si="5"/>
        <v>21.01278381</v>
      </c>
      <c r="L7" s="8"/>
      <c r="M7" s="72" t="s">
        <v>69</v>
      </c>
      <c r="N7" s="72" t="s">
        <v>70</v>
      </c>
      <c r="O7" s="58"/>
      <c r="P7" s="58"/>
      <c r="Q7" s="58"/>
      <c r="R7" s="58"/>
      <c r="S7" s="58">
        <v>444187.0</v>
      </c>
      <c r="T7" s="58">
        <v>19.648354059370554</v>
      </c>
      <c r="U7" s="58">
        <v>23.132383966301383</v>
      </c>
      <c r="V7" s="58"/>
      <c r="W7" s="58"/>
      <c r="X7" s="58"/>
      <c r="Y7" s="58"/>
      <c r="Z7" s="58"/>
      <c r="AA7" s="58"/>
      <c r="AB7" s="58"/>
      <c r="AC7" s="58"/>
    </row>
    <row r="8">
      <c r="A8" s="64">
        <v>5.0</v>
      </c>
      <c r="B8" s="65" t="s">
        <v>31</v>
      </c>
      <c r="C8" s="71">
        <v>2265620.56</v>
      </c>
      <c r="D8" s="86">
        <v>2492475.62</v>
      </c>
      <c r="E8" s="1">
        <f>'ม.ค. 69'!E8+D8</f>
        <v>13412862.25</v>
      </c>
      <c r="F8" s="86">
        <v>1656543.0</v>
      </c>
      <c r="G8" s="71">
        <v>210500.0</v>
      </c>
      <c r="H8" s="8">
        <f t="shared" si="2"/>
        <v>625432.62</v>
      </c>
      <c r="I8" s="91">
        <f>'ม.ค. 69'!I8+H8</f>
        <v>4412067.25</v>
      </c>
      <c r="J8" s="8">
        <f t="shared" ref="J8:K8" si="6">(H8/D8)*100</f>
        <v>25.09282799</v>
      </c>
      <c r="K8" s="67">
        <f t="shared" si="6"/>
        <v>32.89430077</v>
      </c>
      <c r="L8" s="8"/>
      <c r="M8" s="72" t="s">
        <v>71</v>
      </c>
      <c r="N8" s="72" t="s">
        <v>112</v>
      </c>
      <c r="O8" s="58"/>
      <c r="P8" s="58"/>
      <c r="Q8" s="58"/>
      <c r="R8" s="58"/>
      <c r="S8" s="58">
        <v>866772.9900000002</v>
      </c>
      <c r="T8" s="58">
        <v>30.68249050852996</v>
      </c>
      <c r="U8" s="58">
        <v>34.674913611552235</v>
      </c>
      <c r="V8" s="58"/>
      <c r="W8" s="58"/>
      <c r="X8" s="58"/>
      <c r="Y8" s="58"/>
      <c r="Z8" s="58"/>
      <c r="AA8" s="58"/>
      <c r="AB8" s="58"/>
      <c r="AC8" s="58"/>
    </row>
    <row r="9" ht="21.0" customHeight="1">
      <c r="A9" s="64">
        <v>6.0</v>
      </c>
      <c r="B9" s="65" t="s">
        <v>32</v>
      </c>
      <c r="C9" s="73">
        <v>2697607.44</v>
      </c>
      <c r="D9" s="73">
        <v>2631483.44</v>
      </c>
      <c r="E9" s="1">
        <f>'ม.ค. 69'!E9+D9</f>
        <v>14004852.44</v>
      </c>
      <c r="F9" s="73">
        <v>2060277.0</v>
      </c>
      <c r="G9" s="73">
        <v>125854.0</v>
      </c>
      <c r="H9" s="8">
        <f t="shared" si="2"/>
        <v>445352.44</v>
      </c>
      <c r="I9" s="91">
        <f>'ม.ค. 69'!I9+H9</f>
        <v>3419162.44</v>
      </c>
      <c r="J9" s="8">
        <f t="shared" ref="J9:K9" si="7">(H9/D9)*100</f>
        <v>16.92400694</v>
      </c>
      <c r="K9" s="67">
        <f t="shared" si="7"/>
        <v>24.41412685</v>
      </c>
      <c r="L9" s="8"/>
      <c r="M9" s="72" t="s">
        <v>72</v>
      </c>
      <c r="N9" s="72" t="s">
        <v>73</v>
      </c>
      <c r="O9" s="58"/>
      <c r="P9" s="58"/>
      <c r="Q9" s="58"/>
      <c r="R9" s="58"/>
      <c r="S9" s="58">
        <v>699984.0</v>
      </c>
      <c r="T9" s="58">
        <v>24.373788246829942</v>
      </c>
      <c r="U9" s="58">
        <v>26.147133712095332</v>
      </c>
      <c r="V9" s="58"/>
      <c r="W9" s="58"/>
      <c r="X9" s="58"/>
      <c r="Y9" s="58"/>
      <c r="Z9" s="58"/>
      <c r="AA9" s="58"/>
      <c r="AB9" s="58"/>
      <c r="AC9" s="58"/>
    </row>
    <row r="10">
      <c r="A10" s="75">
        <v>7.0</v>
      </c>
      <c r="B10" s="76" t="s">
        <v>33</v>
      </c>
      <c r="C10" s="77">
        <v>1001941.3</v>
      </c>
      <c r="D10" s="77">
        <v>981477.0</v>
      </c>
      <c r="E10" s="1">
        <f>'ม.ค. 69'!E10+D10</f>
        <v>5190555</v>
      </c>
      <c r="F10" s="77">
        <f>871628+44+10</f>
        <v>871682</v>
      </c>
      <c r="G10" s="77">
        <v>43837.42</v>
      </c>
      <c r="H10" s="16">
        <f t="shared" si="2"/>
        <v>65957.58</v>
      </c>
      <c r="I10" s="91">
        <f>'ม.ค. 69'!I10+H10</f>
        <v>475577.71</v>
      </c>
      <c r="J10" s="16">
        <f t="shared" ref="J10:K10" si="8">(H10/D10)*100</f>
        <v>6.720236949</v>
      </c>
      <c r="K10" s="67">
        <f t="shared" si="8"/>
        <v>9.162367223</v>
      </c>
      <c r="L10" s="16"/>
      <c r="M10" s="79" t="s">
        <v>74</v>
      </c>
      <c r="N10" s="79" t="s">
        <v>75</v>
      </c>
      <c r="O10" s="58"/>
      <c r="P10" s="58"/>
      <c r="Q10" s="58"/>
      <c r="R10" s="58"/>
      <c r="S10" s="58">
        <v>114792.58</v>
      </c>
      <c r="T10" s="58">
        <v>10.86244492725098</v>
      </c>
      <c r="U10" s="58">
        <v>9.731825592208079</v>
      </c>
      <c r="V10" s="58"/>
      <c r="W10" s="58"/>
      <c r="X10" s="58"/>
      <c r="Y10" s="58"/>
      <c r="Z10" s="58"/>
      <c r="AA10" s="58"/>
      <c r="AB10" s="58"/>
      <c r="AC10" s="58"/>
    </row>
    <row r="11">
      <c r="A11" s="64">
        <v>8.0</v>
      </c>
      <c r="B11" s="65" t="s">
        <v>34</v>
      </c>
      <c r="C11" s="71">
        <v>1280841.75</v>
      </c>
      <c r="D11" s="71">
        <v>1279080.0</v>
      </c>
      <c r="E11" s="1">
        <f>'ม.ค. 69'!E11+D11</f>
        <v>6711977</v>
      </c>
      <c r="F11" s="71">
        <v>1151393.0</v>
      </c>
      <c r="G11" s="99">
        <v>37853.95</v>
      </c>
      <c r="H11" s="8">
        <f t="shared" si="2"/>
        <v>89833.05</v>
      </c>
      <c r="I11" s="91">
        <f>'ม.ค. 69'!I11+H11</f>
        <v>711932.85</v>
      </c>
      <c r="J11" s="8">
        <f t="shared" ref="J11:K11" si="9">(H11/D11)*100</f>
        <v>7.023254996</v>
      </c>
      <c r="K11" s="67">
        <f t="shared" si="9"/>
        <v>10.60690241</v>
      </c>
      <c r="L11" s="8"/>
      <c r="M11" s="72" t="s">
        <v>126</v>
      </c>
      <c r="N11" s="72" t="s">
        <v>108</v>
      </c>
      <c r="O11" s="58"/>
      <c r="P11" s="58"/>
      <c r="Q11" s="58"/>
      <c r="R11" s="58"/>
      <c r="S11" s="58">
        <v>137930.97</v>
      </c>
      <c r="T11" s="58">
        <v>9.883755442368932</v>
      </c>
      <c r="U11" s="58">
        <v>11.450609131739474</v>
      </c>
      <c r="V11" s="58"/>
      <c r="W11" s="58"/>
      <c r="X11" s="58"/>
      <c r="Y11" s="58"/>
      <c r="Z11" s="58"/>
      <c r="AA11" s="58"/>
      <c r="AB11" s="58"/>
      <c r="AC11" s="58"/>
    </row>
    <row r="12">
      <c r="A12" s="64">
        <v>9.0</v>
      </c>
      <c r="B12" s="65" t="s">
        <v>35</v>
      </c>
      <c r="C12" s="71">
        <v>2752372.0</v>
      </c>
      <c r="D12" s="71">
        <v>2590033.0</v>
      </c>
      <c r="E12" s="1">
        <f>'ม.ค. 69'!E12+D12</f>
        <v>13796308</v>
      </c>
      <c r="F12" s="71">
        <v>1744982.0</v>
      </c>
      <c r="G12" s="71">
        <v>145750.0</v>
      </c>
      <c r="H12" s="8">
        <f t="shared" si="2"/>
        <v>699301</v>
      </c>
      <c r="I12" s="91">
        <f>'ม.ค. 69'!I12+H12</f>
        <v>4109655</v>
      </c>
      <c r="J12" s="8">
        <f t="shared" ref="J12:K12" si="10">(H12/D12)*100</f>
        <v>26.9996946</v>
      </c>
      <c r="K12" s="67">
        <f t="shared" si="10"/>
        <v>29.78807809</v>
      </c>
      <c r="L12" s="8"/>
      <c r="M12" s="72"/>
      <c r="N12" s="72"/>
      <c r="O12" s="58"/>
      <c r="P12" s="58"/>
      <c r="Q12" s="58"/>
      <c r="R12" s="58"/>
      <c r="S12" s="58">
        <v>790180.0</v>
      </c>
      <c r="T12" s="58">
        <v>28.161334101237962</v>
      </c>
      <c r="U12" s="58">
        <v>30.43253891235045</v>
      </c>
      <c r="V12" s="58"/>
      <c r="W12" s="58"/>
      <c r="X12" s="58"/>
      <c r="Y12" s="58"/>
      <c r="Z12" s="58"/>
      <c r="AA12" s="58"/>
      <c r="AB12" s="58"/>
      <c r="AC12" s="58"/>
    </row>
    <row r="13">
      <c r="A13" s="64">
        <v>10.0</v>
      </c>
      <c r="B13" s="65" t="s">
        <v>36</v>
      </c>
      <c r="C13" s="71">
        <v>898098.83</v>
      </c>
      <c r="D13" s="71">
        <v>863460.0</v>
      </c>
      <c r="E13" s="1">
        <f>'ม.ค. 69'!E13+D13</f>
        <v>4217198</v>
      </c>
      <c r="F13" s="71">
        <v>609129.0</v>
      </c>
      <c r="G13" s="100">
        <v>17800.6</v>
      </c>
      <c r="H13" s="8">
        <f t="shared" si="2"/>
        <v>236530.4</v>
      </c>
      <c r="I13" s="91">
        <f>'ม.ค. 69'!I13+H13</f>
        <v>1189134.2</v>
      </c>
      <c r="J13" s="8">
        <f t="shared" ref="J13:K13" si="11">(H13/D13)*100</f>
        <v>27.39332453</v>
      </c>
      <c r="K13" s="67">
        <f t="shared" si="11"/>
        <v>28.19725799</v>
      </c>
      <c r="L13" s="8"/>
      <c r="M13" s="68"/>
      <c r="N13" s="8"/>
      <c r="O13" s="58"/>
      <c r="P13" s="58"/>
      <c r="Q13" s="58"/>
      <c r="R13" s="58"/>
      <c r="S13" s="58">
        <v>265775.0</v>
      </c>
      <c r="T13" s="58">
        <v>28.79609515090118</v>
      </c>
      <c r="U13" s="58">
        <v>28.40424028352841</v>
      </c>
      <c r="V13" s="58"/>
      <c r="W13" s="58"/>
      <c r="X13" s="58"/>
      <c r="Y13" s="58"/>
      <c r="Z13" s="58"/>
      <c r="AA13" s="58"/>
      <c r="AB13" s="58"/>
      <c r="AC13" s="58"/>
    </row>
    <row r="14">
      <c r="A14" s="64">
        <v>11.0</v>
      </c>
      <c r="B14" s="65" t="s">
        <v>37</v>
      </c>
      <c r="C14" s="71">
        <v>1913025.0</v>
      </c>
      <c r="D14" s="71">
        <v>1843835.0</v>
      </c>
      <c r="E14" s="1">
        <f>'ม.ค. 69'!E14+D14</f>
        <v>9607500</v>
      </c>
      <c r="F14" s="71">
        <v>1651184.0</v>
      </c>
      <c r="G14" s="71">
        <v>45687.0</v>
      </c>
      <c r="H14" s="8">
        <f t="shared" si="2"/>
        <v>146964</v>
      </c>
      <c r="I14" s="91">
        <f>'ม.ค. 69'!I14+H14</f>
        <v>1062377</v>
      </c>
      <c r="J14" s="8">
        <f t="shared" ref="J14:K14" si="12">(H14/D14)*100</f>
        <v>7.970561357</v>
      </c>
      <c r="K14" s="67">
        <f t="shared" si="12"/>
        <v>11.05778819</v>
      </c>
      <c r="L14" s="8"/>
      <c r="M14" s="72" t="s">
        <v>80</v>
      </c>
      <c r="N14" s="72"/>
      <c r="O14" s="58"/>
      <c r="P14" s="58"/>
      <c r="Q14" s="58"/>
      <c r="R14" s="58"/>
      <c r="S14" s="58">
        <v>0.0</v>
      </c>
      <c r="T14" s="58" t="e">
        <v>#DIV/0!</v>
      </c>
      <c r="U14" s="58">
        <v>13.124851236103652</v>
      </c>
      <c r="V14" s="58"/>
      <c r="W14" s="58"/>
      <c r="X14" s="58"/>
      <c r="Y14" s="58"/>
      <c r="Z14" s="58"/>
      <c r="AA14" s="58"/>
      <c r="AB14" s="58"/>
      <c r="AC14" s="58"/>
    </row>
    <row r="15">
      <c r="A15" s="64">
        <v>12.0</v>
      </c>
      <c r="B15" s="65" t="s">
        <v>38</v>
      </c>
      <c r="C15" s="71">
        <v>3477127.0</v>
      </c>
      <c r="D15" s="71">
        <v>3401340.0</v>
      </c>
      <c r="E15" s="1">
        <f>'ม.ค. 69'!E15+D15</f>
        <v>17145768</v>
      </c>
      <c r="F15" s="71">
        <v>2532991.0</v>
      </c>
      <c r="G15" s="71">
        <v>106030.0</v>
      </c>
      <c r="H15" s="8">
        <f t="shared" si="2"/>
        <v>762319</v>
      </c>
      <c r="I15" s="91">
        <f>'ม.ค. 69'!I15+H15</f>
        <v>4456346</v>
      </c>
      <c r="J15" s="8">
        <f t="shared" ref="J15:K15" si="13">(H15/D15)*100</f>
        <v>22.41231397</v>
      </c>
      <c r="K15" s="67">
        <f t="shared" si="13"/>
        <v>25.99093841</v>
      </c>
      <c r="L15" s="8"/>
      <c r="M15" s="68"/>
      <c r="N15" s="8"/>
      <c r="O15" s="58"/>
      <c r="P15" s="58"/>
      <c r="Q15" s="58"/>
      <c r="R15" s="58"/>
      <c r="S15" s="58">
        <v>942423.0</v>
      </c>
      <c r="T15" s="58">
        <v>25.807357053213504</v>
      </c>
      <c r="U15" s="58">
        <v>26.876542261344017</v>
      </c>
      <c r="V15" s="58"/>
      <c r="W15" s="58"/>
      <c r="X15" s="58"/>
      <c r="Y15" s="58"/>
      <c r="Z15" s="58"/>
      <c r="AA15" s="58"/>
      <c r="AB15" s="58"/>
      <c r="AC15" s="58"/>
    </row>
    <row r="16">
      <c r="A16" s="64">
        <v>13.0</v>
      </c>
      <c r="B16" s="65" t="s">
        <v>39</v>
      </c>
      <c r="C16" s="71">
        <v>1032622.0</v>
      </c>
      <c r="D16" s="71">
        <v>911096.0</v>
      </c>
      <c r="E16" s="1">
        <f>'ม.ค. 69'!E16+D16</f>
        <v>4400446</v>
      </c>
      <c r="F16" s="71">
        <v>481584.0</v>
      </c>
      <c r="G16" s="71">
        <v>20462.0</v>
      </c>
      <c r="H16" s="8">
        <f t="shared" si="2"/>
        <v>409050</v>
      </c>
      <c r="I16" s="91">
        <f>'ม.ค. 69'!I16+H16</f>
        <v>1912648</v>
      </c>
      <c r="J16" s="8">
        <f t="shared" ref="J16:K16" si="14">(H16/D16)*100</f>
        <v>44.89647633</v>
      </c>
      <c r="K16" s="67">
        <f t="shared" si="14"/>
        <v>43.46486697</v>
      </c>
      <c r="L16" s="8"/>
      <c r="M16" s="72" t="s">
        <v>127</v>
      </c>
      <c r="N16" s="72" t="s">
        <v>128</v>
      </c>
      <c r="O16" s="58"/>
      <c r="P16" s="58"/>
      <c r="Q16" s="58"/>
      <c r="R16" s="58"/>
      <c r="S16" s="58">
        <v>392880.0</v>
      </c>
      <c r="T16" s="58">
        <v>41.87213906222523</v>
      </c>
      <c r="U16" s="58">
        <v>43.09186524710906</v>
      </c>
      <c r="V16" s="58"/>
      <c r="W16" s="58"/>
      <c r="X16" s="58"/>
      <c r="Y16" s="58"/>
      <c r="Z16" s="58"/>
      <c r="AA16" s="58"/>
      <c r="AB16" s="58"/>
      <c r="AC16" s="58"/>
    </row>
    <row r="17">
      <c r="A17" s="64">
        <v>14.0</v>
      </c>
      <c r="B17" s="65" t="s">
        <v>40</v>
      </c>
      <c r="C17" s="71">
        <v>2146734.0</v>
      </c>
      <c r="D17" s="71">
        <v>1827383.0</v>
      </c>
      <c r="E17" s="1">
        <f>'ม.ค. 69'!E17+D17</f>
        <v>9853028.11</v>
      </c>
      <c r="F17" s="93">
        <v>1271750.0</v>
      </c>
      <c r="G17" s="71">
        <v>35222.0</v>
      </c>
      <c r="H17" s="8">
        <f t="shared" si="2"/>
        <v>520411</v>
      </c>
      <c r="I17" s="91">
        <f>'ม.ค. 69'!I17+H17</f>
        <v>3124390.11</v>
      </c>
      <c r="J17" s="8">
        <f t="shared" ref="J17:K17" si="15">(H17/D17)*100</f>
        <v>28.47848535</v>
      </c>
      <c r="K17" s="67">
        <f t="shared" si="15"/>
        <v>31.7099482</v>
      </c>
      <c r="L17" s="8"/>
      <c r="M17" s="72" t="s">
        <v>85</v>
      </c>
      <c r="N17" s="101" t="s">
        <v>86</v>
      </c>
      <c r="O17" s="58"/>
      <c r="P17" s="58"/>
      <c r="Q17" s="58"/>
      <c r="R17" s="58"/>
      <c r="S17" s="58">
        <v>0.0</v>
      </c>
      <c r="T17" s="58" t="e">
        <v>#DIV/0!</v>
      </c>
      <c r="U17" s="58">
        <v>32.53423723723919</v>
      </c>
      <c r="V17" s="58"/>
      <c r="W17" s="58"/>
      <c r="X17" s="58"/>
      <c r="Y17" s="58"/>
      <c r="Z17" s="58"/>
      <c r="AA17" s="58"/>
      <c r="AB17" s="58"/>
      <c r="AC17" s="58"/>
    </row>
    <row r="18">
      <c r="A18" s="64">
        <v>15.0</v>
      </c>
      <c r="B18" s="65" t="s">
        <v>41</v>
      </c>
      <c r="C18" s="94">
        <v>553030.54</v>
      </c>
      <c r="D18" s="94">
        <v>524050.0</v>
      </c>
      <c r="E18" s="1">
        <f>'ม.ค. 69'!E18+D18</f>
        <v>2809187</v>
      </c>
      <c r="F18" s="94">
        <v>268619.0</v>
      </c>
      <c r="G18" s="94">
        <v>7613.56</v>
      </c>
      <c r="H18" s="8">
        <f t="shared" si="2"/>
        <v>247817.44</v>
      </c>
      <c r="I18" s="91">
        <f>'ม.ค. 69'!I18+H18</f>
        <v>1482661</v>
      </c>
      <c r="J18" s="8">
        <f t="shared" ref="J18:K18" si="16">(H18/D18)*100</f>
        <v>47.28889228</v>
      </c>
      <c r="K18" s="67">
        <f t="shared" si="16"/>
        <v>52.77900688</v>
      </c>
      <c r="L18" s="8"/>
      <c r="M18" s="72" t="s">
        <v>87</v>
      </c>
      <c r="N18" s="72" t="s">
        <v>88</v>
      </c>
      <c r="O18" s="58"/>
      <c r="P18" s="58"/>
      <c r="Q18" s="58"/>
      <c r="R18" s="58"/>
      <c r="S18" s="58">
        <v>303360.76</v>
      </c>
      <c r="T18" s="58">
        <v>51.18837870126013</v>
      </c>
      <c r="U18" s="58">
        <v>54.03805373594669</v>
      </c>
      <c r="V18" s="58"/>
      <c r="W18" s="58"/>
      <c r="X18" s="58"/>
      <c r="Y18" s="58"/>
      <c r="Z18" s="58"/>
      <c r="AA18" s="58"/>
      <c r="AB18" s="58"/>
      <c r="AC18" s="58"/>
    </row>
    <row r="19">
      <c r="A19" s="64">
        <v>16.0</v>
      </c>
      <c r="B19" s="65" t="s">
        <v>42</v>
      </c>
      <c r="C19" s="71">
        <v>1436499.0</v>
      </c>
      <c r="D19" s="71">
        <v>1199081.0</v>
      </c>
      <c r="E19" s="1">
        <f>'ม.ค. 69'!E19+D19</f>
        <v>6288188.47</v>
      </c>
      <c r="F19" s="71">
        <v>560081.0</v>
      </c>
      <c r="G19" s="71">
        <v>100.0</v>
      </c>
      <c r="H19" s="8">
        <f t="shared" si="2"/>
        <v>638900</v>
      </c>
      <c r="I19" s="91">
        <f>'ม.ค. 69'!I19+H19</f>
        <v>3631836.47</v>
      </c>
      <c r="J19" s="8">
        <f t="shared" ref="J19:K19" si="17">(H19/D19)*100</f>
        <v>53.28247216</v>
      </c>
      <c r="K19" s="67">
        <f t="shared" si="17"/>
        <v>57.75648245</v>
      </c>
      <c r="L19" s="8"/>
      <c r="M19" s="72" t="s">
        <v>129</v>
      </c>
      <c r="N19" s="101" t="s">
        <v>130</v>
      </c>
      <c r="O19" s="58"/>
      <c r="P19" s="58"/>
      <c r="Q19" s="58"/>
      <c r="R19" s="58"/>
      <c r="S19" s="58">
        <v>712951.0</v>
      </c>
      <c r="T19" s="58">
        <v>55.391441628325076</v>
      </c>
      <c r="U19" s="58">
        <v>58.810636003330465</v>
      </c>
      <c r="V19" s="58"/>
      <c r="W19" s="58"/>
      <c r="X19" s="58"/>
      <c r="Y19" s="58"/>
      <c r="Z19" s="58"/>
      <c r="AA19" s="58"/>
      <c r="AB19" s="58"/>
      <c r="AC19" s="58"/>
    </row>
    <row r="20">
      <c r="A20" s="64">
        <v>17.0</v>
      </c>
      <c r="B20" s="65" t="s">
        <v>43</v>
      </c>
      <c r="C20" s="71">
        <v>168003.0</v>
      </c>
      <c r="D20" s="71">
        <v>148706.0</v>
      </c>
      <c r="E20" s="1">
        <f>'ม.ค. 69'!E20+D20</f>
        <v>790762</v>
      </c>
      <c r="F20" s="71">
        <v>76148.0</v>
      </c>
      <c r="G20" s="71">
        <v>3885.0</v>
      </c>
      <c r="H20" s="8">
        <f t="shared" si="2"/>
        <v>68673</v>
      </c>
      <c r="I20" s="91">
        <f>'ม.ค. 69'!I20+H20</f>
        <v>385787.16</v>
      </c>
      <c r="J20" s="8">
        <f t="shared" ref="J20:K20" si="18">(H20/D20)*100</f>
        <v>46.18038277</v>
      </c>
      <c r="K20" s="67">
        <f t="shared" si="18"/>
        <v>48.78676011</v>
      </c>
      <c r="L20" s="8"/>
      <c r="M20" s="72"/>
      <c r="N20" s="71"/>
      <c r="O20" s="58"/>
      <c r="P20" s="58"/>
      <c r="Q20" s="58"/>
      <c r="R20" s="58"/>
      <c r="S20" s="58">
        <v>100837.0</v>
      </c>
      <c r="T20" s="58">
        <v>58.37298692878562</v>
      </c>
      <c r="U20" s="58">
        <v>49.39042077326589</v>
      </c>
      <c r="V20" s="58"/>
      <c r="W20" s="58"/>
      <c r="X20" s="58"/>
      <c r="Y20" s="58"/>
      <c r="Z20" s="58"/>
      <c r="AA20" s="58"/>
      <c r="AB20" s="58"/>
      <c r="AC20" s="58"/>
    </row>
    <row r="21">
      <c r="A21" s="64">
        <v>18.0</v>
      </c>
      <c r="B21" s="65" t="s">
        <v>44</v>
      </c>
      <c r="C21" s="71">
        <v>610512.12</v>
      </c>
      <c r="D21" s="71">
        <v>520855.38</v>
      </c>
      <c r="E21" s="1">
        <f>'ม.ค. 69'!E21+D21</f>
        <v>2867049.09</v>
      </c>
      <c r="F21" s="71">
        <v>327923.0</v>
      </c>
      <c r="G21" s="71">
        <v>28250.0</v>
      </c>
      <c r="H21" s="8">
        <f t="shared" si="2"/>
        <v>164682.38</v>
      </c>
      <c r="I21" s="91">
        <f>'ม.ค. 69'!I21+H21</f>
        <v>1122629.09</v>
      </c>
      <c r="J21" s="8">
        <f t="shared" ref="J21:K21" si="19">(H21/D21)*100</f>
        <v>31.6176786</v>
      </c>
      <c r="K21" s="67">
        <f t="shared" si="19"/>
        <v>39.1562563</v>
      </c>
      <c r="L21" s="8"/>
      <c r="M21" s="72"/>
      <c r="N21" s="71"/>
      <c r="O21" s="58"/>
      <c r="P21" s="58"/>
      <c r="Q21" s="58"/>
      <c r="R21" s="58"/>
      <c r="S21" s="58">
        <v>232410.14</v>
      </c>
      <c r="T21" s="58">
        <v>38.568014829916336</v>
      </c>
      <c r="U21" s="58">
        <v>40.82982176267108</v>
      </c>
      <c r="V21" s="58"/>
      <c r="W21" s="58"/>
      <c r="X21" s="58"/>
      <c r="Y21" s="58"/>
      <c r="Z21" s="58"/>
      <c r="AA21" s="58"/>
      <c r="AB21" s="58"/>
      <c r="AC21" s="58"/>
    </row>
    <row r="22">
      <c r="A22" s="64">
        <v>19.0</v>
      </c>
      <c r="B22" s="65" t="s">
        <v>45</v>
      </c>
      <c r="C22" s="71">
        <f>120515+61846</f>
        <v>182361</v>
      </c>
      <c r="D22" s="71">
        <v>158194.0</v>
      </c>
      <c r="E22" s="1">
        <f>'ม.ค. 69'!E22+D22</f>
        <v>772747</v>
      </c>
      <c r="F22" s="71">
        <v>122075.0</v>
      </c>
      <c r="G22" s="71">
        <v>8781.0</v>
      </c>
      <c r="H22" s="8">
        <f t="shared" si="2"/>
        <v>27338</v>
      </c>
      <c r="I22" s="91">
        <f>'ม.ค. 69'!I22+H22</f>
        <v>160698.77</v>
      </c>
      <c r="J22" s="8">
        <f t="shared" ref="J22:K22" si="20">(H22/D22)*100</f>
        <v>17.28131282</v>
      </c>
      <c r="K22" s="67">
        <f t="shared" si="20"/>
        <v>20.79578051</v>
      </c>
      <c r="L22" s="8"/>
      <c r="M22" s="82" t="s">
        <v>94</v>
      </c>
      <c r="N22" s="72" t="s">
        <v>131</v>
      </c>
      <c r="O22" s="58"/>
      <c r="P22" s="58"/>
      <c r="Q22" s="58"/>
      <c r="R22" s="58"/>
      <c r="S22" s="58">
        <v>31156.0</v>
      </c>
      <c r="T22" s="58">
        <v>19.89463937933016</v>
      </c>
      <c r="U22" s="58">
        <v>21.700450571390917</v>
      </c>
      <c r="V22" s="58"/>
      <c r="W22" s="58"/>
      <c r="X22" s="58"/>
      <c r="Y22" s="58"/>
      <c r="Z22" s="58"/>
      <c r="AA22" s="58"/>
      <c r="AB22" s="58"/>
      <c r="AC22" s="58"/>
    </row>
    <row r="23">
      <c r="A23" s="64">
        <v>20.0</v>
      </c>
      <c r="B23" s="65" t="s">
        <v>46</v>
      </c>
      <c r="C23" s="71">
        <v>641121.0</v>
      </c>
      <c r="D23" s="71">
        <v>520606.0</v>
      </c>
      <c r="E23" s="1">
        <f>'ม.ค. 69'!E23+D23</f>
        <v>2852541</v>
      </c>
      <c r="F23" s="71">
        <v>362672.0</v>
      </c>
      <c r="G23" s="71">
        <v>24746.25</v>
      </c>
      <c r="H23" s="8">
        <f t="shared" si="2"/>
        <v>133187.75</v>
      </c>
      <c r="I23" s="91">
        <f>'ม.ค. 69'!I23+H23</f>
        <v>1052833.75</v>
      </c>
      <c r="J23" s="8">
        <f t="shared" ref="J23:K23" si="21">(H23/D23)*100</f>
        <v>25.58321456</v>
      </c>
      <c r="K23" s="67">
        <f t="shared" si="21"/>
        <v>36.90862813</v>
      </c>
      <c r="L23" s="8"/>
      <c r="M23" s="72"/>
      <c r="N23" s="72"/>
      <c r="O23" s="58"/>
      <c r="P23" s="58"/>
      <c r="Q23" s="58"/>
      <c r="R23" s="58"/>
      <c r="S23" s="58">
        <v>282243.0</v>
      </c>
      <c r="T23" s="58">
        <v>42.51435130302752</v>
      </c>
      <c r="U23" s="58">
        <v>41.24165394559865</v>
      </c>
      <c r="V23" s="58"/>
      <c r="W23" s="58"/>
      <c r="X23" s="58"/>
      <c r="Y23" s="58"/>
      <c r="Z23" s="58"/>
      <c r="AA23" s="58"/>
      <c r="AB23" s="58"/>
      <c r="AC23" s="58"/>
    </row>
    <row r="24">
      <c r="A24" s="64">
        <v>21.0</v>
      </c>
      <c r="B24" s="65" t="s">
        <v>47</v>
      </c>
      <c r="C24" s="71">
        <v>1648024.0</v>
      </c>
      <c r="D24" s="71">
        <v>1477481.0</v>
      </c>
      <c r="E24" s="1">
        <f>'ม.ค. 69'!E24+D24</f>
        <v>7982710</v>
      </c>
      <c r="F24" s="71">
        <v>876047.0</v>
      </c>
      <c r="G24" s="71">
        <v>15150.0</v>
      </c>
      <c r="H24" s="8">
        <f t="shared" si="2"/>
        <v>586284</v>
      </c>
      <c r="I24" s="1">
        <f>'ม.ค. 69'!I24+H24</f>
        <v>3822542</v>
      </c>
      <c r="J24" s="8">
        <f t="shared" ref="J24:K24" si="22">(H24/D24)*100</f>
        <v>39.68132247</v>
      </c>
      <c r="K24" s="67">
        <f t="shared" si="22"/>
        <v>47.88526703</v>
      </c>
      <c r="L24" s="8"/>
      <c r="M24" s="72" t="s">
        <v>132</v>
      </c>
      <c r="N24" s="72"/>
      <c r="O24" s="58"/>
      <c r="P24" s="58"/>
      <c r="Q24" s="58"/>
      <c r="R24" s="58"/>
      <c r="S24" s="58">
        <v>0.0</v>
      </c>
      <c r="T24" s="58" t="e">
        <v>#DIV/0!</v>
      </c>
      <c r="U24" s="58">
        <v>50.01612705298628</v>
      </c>
      <c r="V24" s="58"/>
      <c r="W24" s="58"/>
      <c r="X24" s="58"/>
      <c r="Y24" s="58"/>
      <c r="Z24" s="58"/>
      <c r="AA24" s="58"/>
      <c r="AB24" s="58"/>
      <c r="AC24" s="58"/>
    </row>
    <row r="25">
      <c r="A25" s="102">
        <v>22.0</v>
      </c>
      <c r="B25" s="103" t="s">
        <v>48</v>
      </c>
      <c r="C25" s="104">
        <v>525284.0</v>
      </c>
      <c r="D25" s="104">
        <v>515209.0</v>
      </c>
      <c r="E25" s="1">
        <f>'ม.ค. 69'!E25+D25</f>
        <v>2724878</v>
      </c>
      <c r="F25" s="104">
        <v>335486.0</v>
      </c>
      <c r="G25" s="104">
        <v>25001.7</v>
      </c>
      <c r="H25" s="105">
        <f t="shared" si="2"/>
        <v>154721.3</v>
      </c>
      <c r="I25" s="106">
        <f>'ม.ค. 69'!I25+H25</f>
        <v>867085.3</v>
      </c>
      <c r="J25" s="105">
        <f t="shared" ref="J25:K25" si="23">(H25/D25)*100</f>
        <v>30.03078362</v>
      </c>
      <c r="K25" s="107">
        <f t="shared" si="23"/>
        <v>31.82106869</v>
      </c>
      <c r="L25" s="105"/>
      <c r="M25" s="72" t="s">
        <v>98</v>
      </c>
      <c r="N25" s="72" t="s">
        <v>99</v>
      </c>
      <c r="O25" s="108"/>
      <c r="P25" s="108"/>
      <c r="Q25" s="108"/>
      <c r="R25" s="108"/>
      <c r="S25" s="108">
        <v>162032.0</v>
      </c>
      <c r="T25" s="108">
        <v>28.88816781780515</v>
      </c>
      <c r="U25" s="108">
        <v>31.92179462172841</v>
      </c>
      <c r="V25" s="108"/>
      <c r="W25" s="108"/>
      <c r="X25" s="108"/>
      <c r="Y25" s="108"/>
      <c r="Z25" s="108"/>
      <c r="AA25" s="108"/>
      <c r="AB25" s="108"/>
      <c r="AC25" s="108"/>
    </row>
    <row r="26">
      <c r="A26" s="83">
        <v>23.0</v>
      </c>
      <c r="B26" s="84" t="s">
        <v>100</v>
      </c>
      <c r="C26" s="18">
        <f>SUM(C4:C25)</f>
        <v>40417779.7</v>
      </c>
      <c r="D26" s="18">
        <f>sum(D4:D25)</f>
        <v>38930697.23</v>
      </c>
      <c r="E26" s="85">
        <f>SUM(E4:E25)</f>
        <v>204420242</v>
      </c>
      <c r="F26" s="18">
        <f t="shared" ref="F26:H26" si="24">sum(F4:F25)</f>
        <v>28687333</v>
      </c>
      <c r="G26" s="18">
        <f t="shared" si="24"/>
        <v>1445310.83</v>
      </c>
      <c r="H26" s="18">
        <f t="shared" si="24"/>
        <v>8798053.4</v>
      </c>
      <c r="I26" s="18">
        <f>'ม.ค. 69'!I26+H26</f>
        <v>55052252.3</v>
      </c>
      <c r="J26" s="18">
        <f t="shared" ref="J26:K26" si="25">(H26/D26)*100</f>
        <v>22.59927005</v>
      </c>
      <c r="K26" s="18">
        <f t="shared" si="25"/>
        <v>26.93092022</v>
      </c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  <c r="AA26" s="58"/>
      <c r="AB26" s="58"/>
      <c r="AC26" s="58"/>
    </row>
    <row r="27">
      <c r="A27" s="58"/>
      <c r="B27" s="58"/>
      <c r="C27" s="58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  <c r="AA27" s="58"/>
      <c r="AB27" s="58"/>
      <c r="AC27" s="58"/>
    </row>
    <row r="28">
      <c r="A28" s="58"/>
      <c r="B28" s="58"/>
      <c r="C28" s="58"/>
      <c r="D28" s="58"/>
      <c r="E28" s="58"/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  <c r="AA28" s="58"/>
      <c r="AB28" s="58"/>
      <c r="AC28" s="58"/>
    </row>
    <row r="29">
      <c r="A29" s="58"/>
      <c r="B29" s="58"/>
      <c r="C29" s="58"/>
      <c r="D29" s="58"/>
      <c r="E29" s="58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  <c r="AA29" s="58"/>
      <c r="AB29" s="58"/>
      <c r="AC29" s="58"/>
    </row>
    <row r="30">
      <c r="A30" s="58"/>
      <c r="B30" s="58"/>
      <c r="C30" s="58"/>
      <c r="D30" s="58"/>
      <c r="E30" s="58"/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  <c r="AA30" s="58"/>
      <c r="AB30" s="58"/>
      <c r="AC30" s="58"/>
    </row>
    <row r="31">
      <c r="A31" s="58"/>
      <c r="B31" s="58"/>
      <c r="C31" s="58"/>
      <c r="D31" s="58"/>
      <c r="E31" s="58"/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  <c r="AA31" s="58"/>
      <c r="AB31" s="58"/>
      <c r="AC31" s="58"/>
    </row>
    <row r="32">
      <c r="A32" s="58"/>
      <c r="B32" s="58"/>
      <c r="C32" s="58"/>
      <c r="D32" s="58"/>
      <c r="E32" s="58"/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  <c r="AA32" s="58"/>
      <c r="AB32" s="58"/>
      <c r="AC32" s="58"/>
    </row>
    <row r="33">
      <c r="A33" s="58"/>
      <c r="B33" s="58"/>
      <c r="C33" s="58"/>
      <c r="D33" s="58"/>
      <c r="E33" s="58"/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  <c r="AA33" s="58"/>
      <c r="AB33" s="58"/>
      <c r="AC33" s="58"/>
    </row>
    <row r="34">
      <c r="A34" s="58"/>
      <c r="B34" s="58"/>
      <c r="C34" s="58"/>
      <c r="D34" s="58"/>
      <c r="E34" s="58"/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  <c r="AA34" s="58"/>
      <c r="AB34" s="58"/>
      <c r="AC34" s="58"/>
    </row>
    <row r="35">
      <c r="A35" s="58"/>
      <c r="B35" s="58"/>
      <c r="C35" s="58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  <c r="AA35" s="58"/>
      <c r="AB35" s="58"/>
      <c r="AC35" s="58"/>
    </row>
    <row r="36">
      <c r="A36" s="58"/>
      <c r="B36" s="58"/>
      <c r="C36" s="58"/>
      <c r="D36" s="58"/>
      <c r="E36" s="58"/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58"/>
      <c r="AB36" s="58"/>
      <c r="AC36" s="58"/>
    </row>
    <row r="37">
      <c r="A37" s="58"/>
      <c r="B37" s="58"/>
      <c r="C37" s="58"/>
      <c r="D37" s="58"/>
      <c r="E37" s="58"/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>
      <c r="A38" s="58"/>
      <c r="B38" s="58"/>
      <c r="C38" s="58"/>
      <c r="D38" s="58"/>
      <c r="E38" s="58"/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  <c r="AA38" s="58"/>
      <c r="AB38" s="58"/>
      <c r="AC38" s="58"/>
    </row>
    <row r="39">
      <c r="A39" s="58"/>
      <c r="B39" s="58"/>
      <c r="C39" s="58"/>
      <c r="D39" s="58"/>
      <c r="E39" s="58"/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>
      <c r="A40" s="58"/>
      <c r="B40" s="58"/>
      <c r="C40" s="58"/>
      <c r="D40" s="58"/>
      <c r="E40" s="58"/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  <c r="AA40" s="58"/>
      <c r="AB40" s="58"/>
      <c r="AC40" s="58"/>
    </row>
    <row r="41">
      <c r="A41" s="58"/>
      <c r="B41" s="58"/>
      <c r="C41" s="58"/>
      <c r="D41" s="58"/>
      <c r="E41" s="58"/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  <c r="AA41" s="58"/>
      <c r="AB41" s="58"/>
      <c r="AC41" s="58"/>
    </row>
    <row r="42">
      <c r="A42" s="58"/>
      <c r="B42" s="58"/>
      <c r="C42" s="58"/>
      <c r="D42" s="58"/>
      <c r="E42" s="58"/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  <c r="AA42" s="58"/>
      <c r="AB42" s="58"/>
      <c r="AC42" s="58"/>
    </row>
    <row r="43">
      <c r="A43" s="58"/>
      <c r="B43" s="58"/>
      <c r="C43" s="58"/>
      <c r="D43" s="58"/>
      <c r="E43" s="58"/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  <c r="AA43" s="58"/>
      <c r="AB43" s="58"/>
      <c r="AC43" s="58"/>
    </row>
    <row r="44">
      <c r="A44" s="58"/>
      <c r="B44" s="58"/>
      <c r="C44" s="58"/>
      <c r="D44" s="58"/>
      <c r="E44" s="58"/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  <c r="AA44" s="58"/>
      <c r="AB44" s="58"/>
      <c r="AC44" s="58"/>
    </row>
    <row r="45">
      <c r="A45" s="58"/>
      <c r="B45" s="58"/>
      <c r="C45" s="58"/>
      <c r="D45" s="58"/>
      <c r="E45" s="58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  <c r="AA45" s="58"/>
      <c r="AB45" s="58"/>
      <c r="AC45" s="58"/>
    </row>
    <row r="46">
      <c r="A46" s="58"/>
      <c r="B46" s="58"/>
      <c r="C46" s="58"/>
      <c r="D46" s="58"/>
      <c r="E46" s="58"/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  <c r="AA46" s="58"/>
      <c r="AB46" s="58"/>
      <c r="AC46" s="58"/>
    </row>
    <row r="47">
      <c r="A47" s="58"/>
      <c r="B47" s="58"/>
      <c r="C47" s="58"/>
      <c r="D47" s="58"/>
      <c r="E47" s="58"/>
      <c r="F47" s="58"/>
      <c r="G47" s="58"/>
      <c r="H47" s="58"/>
      <c r="I47" s="58"/>
      <c r="J47" s="58"/>
      <c r="K47" s="58"/>
      <c r="L47" s="58"/>
      <c r="M47" s="58"/>
      <c r="N47" s="58"/>
      <c r="O47" s="58"/>
      <c r="P47" s="58"/>
      <c r="Q47" s="58"/>
      <c r="R47" s="58"/>
      <c r="S47" s="58"/>
      <c r="T47" s="58"/>
      <c r="U47" s="58"/>
      <c r="V47" s="58"/>
      <c r="W47" s="58"/>
      <c r="X47" s="58"/>
      <c r="Y47" s="58"/>
      <c r="Z47" s="58"/>
      <c r="AA47" s="58"/>
      <c r="AB47" s="58"/>
      <c r="AC47" s="58"/>
    </row>
    <row r="48">
      <c r="A48" s="58"/>
      <c r="B48" s="58"/>
      <c r="C48" s="58"/>
      <c r="D48" s="58"/>
      <c r="E48" s="58"/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  <c r="AA48" s="58"/>
      <c r="AB48" s="58"/>
      <c r="AC48" s="58"/>
    </row>
    <row r="49">
      <c r="A49" s="58"/>
      <c r="B49" s="58"/>
      <c r="C49" s="58"/>
      <c r="D49" s="58"/>
      <c r="E49" s="58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  <c r="AA49" s="58"/>
      <c r="AB49" s="58"/>
      <c r="AC49" s="58"/>
    </row>
    <row r="50">
      <c r="A50" s="58"/>
      <c r="B50" s="58"/>
      <c r="C50" s="58"/>
      <c r="D50" s="58"/>
      <c r="E50" s="58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  <c r="AA50" s="58"/>
      <c r="AB50" s="58"/>
      <c r="AC50" s="58"/>
    </row>
    <row r="51">
      <c r="A51" s="58"/>
      <c r="B51" s="58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  <c r="AA51" s="58"/>
      <c r="AB51" s="58"/>
      <c r="AC51" s="58"/>
    </row>
    <row r="52">
      <c r="A52" s="58"/>
      <c r="B52" s="58"/>
      <c r="C52" s="58"/>
      <c r="D52" s="58"/>
      <c r="E52" s="58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  <c r="AA52" s="58"/>
      <c r="AB52" s="58"/>
      <c r="AC52" s="58"/>
    </row>
    <row r="53">
      <c r="A53" s="58"/>
      <c r="B53" s="58"/>
      <c r="C53" s="58"/>
      <c r="D53" s="58"/>
      <c r="E53" s="58"/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  <c r="AA53" s="58"/>
      <c r="AB53" s="58"/>
      <c r="AC53" s="58"/>
    </row>
    <row r="54">
      <c r="A54" s="58"/>
      <c r="B54" s="58"/>
      <c r="C54" s="58"/>
      <c r="D54" s="58"/>
      <c r="E54" s="58"/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  <c r="AA54" s="58"/>
      <c r="AB54" s="58"/>
      <c r="AC54" s="58"/>
    </row>
    <row r="55">
      <c r="A55" s="58"/>
      <c r="B55" s="58"/>
      <c r="C55" s="58"/>
      <c r="D55" s="58"/>
      <c r="E55" s="58"/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  <c r="AA55" s="58"/>
      <c r="AB55" s="58"/>
      <c r="AC55" s="58"/>
    </row>
    <row r="56">
      <c r="A56" s="58"/>
      <c r="B56" s="58"/>
      <c r="C56" s="58"/>
      <c r="D56" s="58"/>
      <c r="E56" s="58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  <c r="AA56" s="58"/>
      <c r="AB56" s="58"/>
      <c r="AC56" s="58"/>
    </row>
    <row r="57">
      <c r="A57" s="58"/>
      <c r="B57" s="58"/>
      <c r="C57" s="58"/>
      <c r="D57" s="58"/>
      <c r="E57" s="58"/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  <c r="AA57" s="58"/>
      <c r="AB57" s="58"/>
      <c r="AC57" s="58"/>
    </row>
    <row r="58">
      <c r="A58" s="58"/>
      <c r="B58" s="58"/>
      <c r="C58" s="58"/>
      <c r="D58" s="58"/>
      <c r="E58" s="58"/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  <c r="AA58" s="58"/>
      <c r="AB58" s="58"/>
      <c r="AC58" s="58"/>
    </row>
    <row r="59">
      <c r="A59" s="58"/>
      <c r="B59" s="58"/>
      <c r="C59" s="58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  <c r="AA59" s="58"/>
      <c r="AB59" s="58"/>
      <c r="AC59" s="58"/>
    </row>
    <row r="60">
      <c r="A60" s="58"/>
      <c r="B60" s="58"/>
      <c r="C60" s="58"/>
      <c r="D60" s="58"/>
      <c r="E60" s="58"/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  <c r="AA60" s="58"/>
      <c r="AB60" s="58"/>
      <c r="AC60" s="58"/>
    </row>
    <row r="61">
      <c r="A61" s="58"/>
      <c r="B61" s="58"/>
      <c r="C61" s="58"/>
      <c r="D61" s="58"/>
      <c r="E61" s="58"/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  <c r="AA61" s="58"/>
      <c r="AB61" s="58"/>
      <c r="AC61" s="58"/>
    </row>
    <row r="62">
      <c r="A62" s="58"/>
      <c r="B62" s="58"/>
      <c r="C62" s="58"/>
      <c r="D62" s="58"/>
      <c r="E62" s="58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  <c r="AA62" s="58"/>
      <c r="AB62" s="58"/>
      <c r="AC62" s="58"/>
    </row>
    <row r="63">
      <c r="A63" s="58"/>
      <c r="B63" s="58"/>
      <c r="C63" s="58"/>
      <c r="D63" s="58"/>
      <c r="E63" s="58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  <c r="AA63" s="58"/>
      <c r="AB63" s="58"/>
      <c r="AC63" s="58"/>
    </row>
    <row r="64">
      <c r="A64" s="58"/>
      <c r="B64" s="58"/>
      <c r="C64" s="58"/>
      <c r="D64" s="58"/>
      <c r="E64" s="58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  <c r="AA64" s="58"/>
      <c r="AB64" s="58"/>
      <c r="AC64" s="58"/>
    </row>
    <row r="65">
      <c r="A65" s="58"/>
      <c r="B65" s="58"/>
      <c r="C65" s="58"/>
      <c r="D65" s="58"/>
      <c r="E65" s="58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  <c r="AA65" s="58"/>
      <c r="AB65" s="58"/>
      <c r="AC65" s="58"/>
    </row>
    <row r="66">
      <c r="A66" s="58"/>
      <c r="B66" s="58"/>
      <c r="C66" s="58"/>
      <c r="D66" s="58"/>
      <c r="E66" s="58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  <c r="AA66" s="58"/>
      <c r="AB66" s="58"/>
      <c r="AC66" s="58"/>
    </row>
    <row r="67">
      <c r="A67" s="58"/>
      <c r="B67" s="58"/>
      <c r="C67" s="58"/>
      <c r="D67" s="58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  <c r="AA67" s="58"/>
      <c r="AB67" s="58"/>
      <c r="AC67" s="58"/>
    </row>
    <row r="68">
      <c r="A68" s="58"/>
      <c r="B68" s="58"/>
      <c r="C68" s="58"/>
      <c r="D68" s="58"/>
      <c r="E68" s="58"/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  <c r="AA68" s="58"/>
      <c r="AB68" s="58"/>
      <c r="AC68" s="58"/>
    </row>
    <row r="69">
      <c r="A69" s="58"/>
      <c r="B69" s="58"/>
      <c r="C69" s="58"/>
      <c r="D69" s="58"/>
      <c r="E69" s="58"/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  <c r="AA69" s="58"/>
      <c r="AB69" s="58"/>
      <c r="AC69" s="58"/>
    </row>
    <row r="70">
      <c r="A70" s="58"/>
      <c r="B70" s="58"/>
      <c r="C70" s="58"/>
      <c r="D70" s="58"/>
      <c r="E70" s="58"/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  <c r="AA70" s="58"/>
      <c r="AB70" s="58"/>
      <c r="AC70" s="58"/>
    </row>
    <row r="71">
      <c r="A71" s="58"/>
      <c r="B71" s="58"/>
      <c r="C71" s="58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  <c r="AA71" s="58"/>
      <c r="AB71" s="58"/>
      <c r="AC71" s="58"/>
    </row>
    <row r="72">
      <c r="A72" s="58"/>
      <c r="B72" s="58"/>
      <c r="C72" s="58"/>
      <c r="D72" s="58"/>
      <c r="E72" s="58"/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  <c r="AA72" s="58"/>
      <c r="AB72" s="58"/>
      <c r="AC72" s="58"/>
    </row>
    <row r="73">
      <c r="A73" s="58"/>
      <c r="B73" s="58"/>
      <c r="C73" s="58"/>
      <c r="D73" s="58"/>
      <c r="E73" s="58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  <c r="AA73" s="58"/>
      <c r="AB73" s="58"/>
      <c r="AC73" s="58"/>
    </row>
    <row r="74">
      <c r="A74" s="58"/>
      <c r="B74" s="58"/>
      <c r="C74" s="58"/>
      <c r="D74" s="58"/>
      <c r="E74" s="58"/>
      <c r="F74" s="58"/>
      <c r="G74" s="58"/>
      <c r="H74" s="58"/>
      <c r="I74" s="58"/>
      <c r="J74" s="58"/>
      <c r="K74" s="58"/>
      <c r="L74" s="58"/>
      <c r="M74" s="58"/>
      <c r="N74" s="58"/>
      <c r="O74" s="58"/>
      <c r="P74" s="58"/>
      <c r="Q74" s="58"/>
      <c r="R74" s="58"/>
      <c r="S74" s="58"/>
      <c r="T74" s="58"/>
      <c r="U74" s="58"/>
      <c r="V74" s="58"/>
      <c r="W74" s="58"/>
      <c r="X74" s="58"/>
      <c r="Y74" s="58"/>
      <c r="Z74" s="58"/>
      <c r="AA74" s="58"/>
      <c r="AB74" s="58"/>
      <c r="AC74" s="58"/>
    </row>
    <row r="75">
      <c r="A75" s="58"/>
      <c r="B75" s="58"/>
      <c r="C75" s="58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  <c r="AA75" s="58"/>
      <c r="AB75" s="58"/>
      <c r="AC75" s="58"/>
    </row>
    <row r="76">
      <c r="A76" s="58"/>
      <c r="B76" s="58"/>
      <c r="C76" s="58"/>
      <c r="D76" s="58"/>
      <c r="E76" s="58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  <c r="AA76" s="58"/>
      <c r="AB76" s="58"/>
      <c r="AC76" s="58"/>
    </row>
    <row r="77">
      <c r="A77" s="58"/>
      <c r="B77" s="58"/>
      <c r="C77" s="58"/>
      <c r="D77" s="58"/>
      <c r="E77" s="58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  <c r="AA77" s="58"/>
      <c r="AB77" s="58"/>
      <c r="AC77" s="58"/>
    </row>
    <row r="78">
      <c r="A78" s="58"/>
      <c r="B78" s="58"/>
      <c r="C78" s="58"/>
      <c r="D78" s="58"/>
      <c r="E78" s="58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  <c r="AA78" s="58"/>
      <c r="AB78" s="58"/>
      <c r="AC78" s="58"/>
    </row>
    <row r="79">
      <c r="A79" s="58"/>
      <c r="B79" s="58"/>
      <c r="C79" s="58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  <c r="AA79" s="58"/>
      <c r="AB79" s="58"/>
      <c r="AC79" s="58"/>
    </row>
    <row r="80">
      <c r="A80" s="58"/>
      <c r="B80" s="58"/>
      <c r="C80" s="58"/>
      <c r="D80" s="58"/>
      <c r="E80" s="58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  <c r="AA80" s="58"/>
      <c r="AB80" s="58"/>
      <c r="AC80" s="58"/>
    </row>
    <row r="81">
      <c r="A81" s="58"/>
      <c r="B81" s="58"/>
      <c r="C81" s="58"/>
      <c r="D81" s="58"/>
      <c r="E81" s="58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58"/>
      <c r="AB81" s="58"/>
      <c r="AC81" s="58"/>
    </row>
    <row r="82">
      <c r="A82" s="58"/>
      <c r="B82" s="58"/>
      <c r="C82" s="58"/>
      <c r="D82" s="58"/>
      <c r="E82" s="58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  <c r="AA82" s="58"/>
      <c r="AB82" s="58"/>
      <c r="AC82" s="58"/>
    </row>
    <row r="83">
      <c r="A83" s="58"/>
      <c r="B83" s="58"/>
      <c r="C83" s="58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  <c r="AA83" s="58"/>
      <c r="AB83" s="58"/>
      <c r="AC83" s="58"/>
    </row>
    <row r="84">
      <c r="A84" s="58"/>
      <c r="B84" s="58"/>
      <c r="C84" s="58"/>
      <c r="D84" s="58"/>
      <c r="E84" s="58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58"/>
      <c r="AB84" s="58"/>
      <c r="AC84" s="58"/>
    </row>
    <row r="85">
      <c r="A85" s="58"/>
      <c r="B85" s="58"/>
      <c r="C85" s="58"/>
      <c r="D85" s="58"/>
      <c r="E85" s="58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</row>
    <row r="86">
      <c r="A86" s="58"/>
      <c r="B86" s="58"/>
      <c r="C86" s="58"/>
      <c r="D86" s="58"/>
      <c r="E86" s="58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58"/>
      <c r="AB86" s="58"/>
      <c r="AC86" s="58"/>
    </row>
    <row r="87">
      <c r="A87" s="58"/>
      <c r="B87" s="58"/>
      <c r="C87" s="58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58"/>
      <c r="AB87" s="58"/>
      <c r="AC87" s="58"/>
    </row>
    <row r="88">
      <c r="A88" s="58"/>
      <c r="B88" s="58"/>
      <c r="C88" s="58"/>
      <c r="D88" s="58"/>
      <c r="E88" s="58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58"/>
      <c r="AB88" s="58"/>
      <c r="AC88" s="58"/>
    </row>
    <row r="89">
      <c r="A89" s="58"/>
      <c r="B89" s="58"/>
      <c r="C89" s="58"/>
      <c r="D89" s="58"/>
      <c r="E89" s="58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58"/>
      <c r="AB89" s="58"/>
      <c r="AC89" s="58"/>
    </row>
    <row r="90">
      <c r="A90" s="58"/>
      <c r="B90" s="58"/>
      <c r="C90" s="58"/>
      <c r="D90" s="58"/>
      <c r="E90" s="58"/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58"/>
      <c r="AB90" s="58"/>
      <c r="AC90" s="58"/>
    </row>
    <row r="91">
      <c r="A91" s="58"/>
      <c r="B91" s="58"/>
      <c r="C91" s="58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  <c r="AA91" s="58"/>
      <c r="AB91" s="58"/>
      <c r="AC91" s="58"/>
    </row>
    <row r="92">
      <c r="A92" s="58"/>
      <c r="B92" s="58"/>
      <c r="C92" s="58"/>
      <c r="D92" s="58"/>
      <c r="E92" s="58"/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58"/>
      <c r="AB92" s="58"/>
      <c r="AC92" s="58"/>
    </row>
    <row r="93">
      <c r="A93" s="58"/>
      <c r="B93" s="58"/>
      <c r="C93" s="58"/>
      <c r="D93" s="58"/>
      <c r="E93" s="58"/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  <c r="AA93" s="58"/>
      <c r="AB93" s="58"/>
      <c r="AC93" s="58"/>
    </row>
    <row r="94">
      <c r="A94" s="58"/>
      <c r="B94" s="58"/>
      <c r="C94" s="58"/>
      <c r="D94" s="58"/>
      <c r="E94" s="58"/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  <c r="AA94" s="58"/>
      <c r="AB94" s="58"/>
      <c r="AC94" s="58"/>
    </row>
    <row r="95">
      <c r="A95" s="58"/>
      <c r="B95" s="58"/>
      <c r="C95" s="58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  <c r="AA95" s="58"/>
      <c r="AB95" s="58"/>
      <c r="AC95" s="58"/>
    </row>
    <row r="96">
      <c r="A96" s="58"/>
      <c r="B96" s="58"/>
      <c r="C96" s="58"/>
      <c r="D96" s="58"/>
      <c r="E96" s="58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  <c r="AA96" s="58"/>
      <c r="AB96" s="58"/>
      <c r="AC96" s="58"/>
    </row>
    <row r="97">
      <c r="A97" s="58"/>
      <c r="B97" s="58"/>
      <c r="C97" s="58"/>
      <c r="D97" s="58"/>
      <c r="E97" s="58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  <c r="AA97" s="58"/>
      <c r="AB97" s="58"/>
      <c r="AC97" s="58"/>
    </row>
    <row r="98">
      <c r="A98" s="58"/>
      <c r="B98" s="58"/>
      <c r="C98" s="58"/>
      <c r="D98" s="58"/>
      <c r="E98" s="58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  <c r="AA98" s="58"/>
      <c r="AB98" s="58"/>
      <c r="AC98" s="58"/>
    </row>
    <row r="99">
      <c r="A99" s="58"/>
      <c r="B99" s="58"/>
      <c r="C99" s="58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  <c r="AA99" s="58"/>
      <c r="AB99" s="58"/>
      <c r="AC99" s="58"/>
    </row>
    <row r="100">
      <c r="A100" s="58"/>
      <c r="B100" s="58"/>
      <c r="C100" s="58"/>
      <c r="D100" s="58"/>
      <c r="E100" s="58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  <c r="AA100" s="58"/>
      <c r="AB100" s="58"/>
      <c r="AC100" s="58"/>
    </row>
    <row r="101">
      <c r="A101" s="58"/>
      <c r="B101" s="58"/>
      <c r="C101" s="58"/>
      <c r="D101" s="58"/>
      <c r="E101" s="58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  <c r="AA101" s="58"/>
      <c r="AB101" s="58"/>
      <c r="AC101" s="58"/>
    </row>
    <row r="102">
      <c r="A102" s="58"/>
      <c r="B102" s="58"/>
      <c r="C102" s="58"/>
      <c r="D102" s="58"/>
      <c r="E102" s="58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  <c r="AA102" s="58"/>
      <c r="AB102" s="58"/>
      <c r="AC102" s="58"/>
    </row>
    <row r="103">
      <c r="A103" s="58"/>
      <c r="B103" s="58"/>
      <c r="C103" s="58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  <c r="AA103" s="58"/>
      <c r="AB103" s="58"/>
      <c r="AC103" s="58"/>
    </row>
    <row r="104">
      <c r="A104" s="58"/>
      <c r="B104" s="58"/>
      <c r="C104" s="58"/>
      <c r="D104" s="58"/>
      <c r="E104" s="58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  <c r="AA104" s="58"/>
      <c r="AB104" s="58"/>
      <c r="AC104" s="58"/>
    </row>
    <row r="105">
      <c r="A105" s="58"/>
      <c r="B105" s="58"/>
      <c r="C105" s="58"/>
      <c r="D105" s="58"/>
      <c r="E105" s="58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  <c r="AA105" s="58"/>
      <c r="AB105" s="58"/>
      <c r="AC105" s="58"/>
    </row>
    <row r="106">
      <c r="A106" s="58"/>
      <c r="B106" s="58"/>
      <c r="C106" s="58"/>
      <c r="D106" s="58"/>
      <c r="E106" s="58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  <c r="AA106" s="58"/>
      <c r="AB106" s="58"/>
      <c r="AC106" s="58"/>
    </row>
    <row r="107">
      <c r="A107" s="58"/>
      <c r="B107" s="58"/>
      <c r="C107" s="58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  <c r="AA107" s="58"/>
      <c r="AB107" s="58"/>
      <c r="AC107" s="58"/>
    </row>
    <row r="108">
      <c r="A108" s="58"/>
      <c r="B108" s="58"/>
      <c r="C108" s="58"/>
      <c r="D108" s="58"/>
      <c r="E108" s="58"/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  <c r="AA108" s="58"/>
      <c r="AB108" s="58"/>
      <c r="AC108" s="58"/>
    </row>
    <row r="109">
      <c r="A109" s="58"/>
      <c r="B109" s="58"/>
      <c r="C109" s="58"/>
      <c r="D109" s="58"/>
      <c r="E109" s="58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  <c r="AA109" s="58"/>
      <c r="AB109" s="58"/>
      <c r="AC109" s="58"/>
    </row>
    <row r="110">
      <c r="A110" s="58"/>
      <c r="B110" s="58"/>
      <c r="C110" s="58"/>
      <c r="D110" s="58"/>
      <c r="E110" s="58"/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  <c r="AA110" s="58"/>
      <c r="AB110" s="58"/>
      <c r="AC110" s="58"/>
    </row>
    <row r="111">
      <c r="A111" s="58"/>
      <c r="B111" s="58"/>
      <c r="C111" s="58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S111" s="58"/>
      <c r="T111" s="58"/>
      <c r="U111" s="58"/>
      <c r="V111" s="58"/>
      <c r="W111" s="58"/>
      <c r="X111" s="58"/>
      <c r="Y111" s="58"/>
      <c r="Z111" s="58"/>
      <c r="AA111" s="58"/>
      <c r="AB111" s="58"/>
      <c r="AC111" s="58"/>
    </row>
    <row r="112">
      <c r="A112" s="58"/>
      <c r="B112" s="58"/>
      <c r="C112" s="58"/>
      <c r="D112" s="58"/>
      <c r="E112" s="58"/>
      <c r="F112" s="58"/>
      <c r="G112" s="58"/>
      <c r="H112" s="58"/>
      <c r="I112" s="58"/>
      <c r="J112" s="58"/>
      <c r="K112" s="58"/>
      <c r="L112" s="58"/>
      <c r="M112" s="58"/>
      <c r="N112" s="58"/>
      <c r="O112" s="58"/>
      <c r="P112" s="58"/>
      <c r="Q112" s="58"/>
      <c r="R112" s="58"/>
      <c r="S112" s="58"/>
      <c r="T112" s="58"/>
      <c r="U112" s="58"/>
      <c r="V112" s="58"/>
      <c r="W112" s="58"/>
      <c r="X112" s="58"/>
      <c r="Y112" s="58"/>
      <c r="Z112" s="58"/>
      <c r="AA112" s="58"/>
      <c r="AB112" s="58"/>
      <c r="AC112" s="58"/>
    </row>
    <row r="113">
      <c r="A113" s="58"/>
      <c r="B113" s="58"/>
      <c r="C113" s="58"/>
      <c r="D113" s="58"/>
      <c r="E113" s="58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  <c r="AA113" s="58"/>
      <c r="AB113" s="58"/>
      <c r="AC113" s="58"/>
    </row>
    <row r="114">
      <c r="A114" s="58"/>
      <c r="B114" s="58"/>
      <c r="C114" s="58"/>
      <c r="D114" s="58"/>
      <c r="E114" s="58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  <c r="AA114" s="58"/>
      <c r="AB114" s="58"/>
      <c r="AC114" s="58"/>
    </row>
    <row r="115">
      <c r="A115" s="58"/>
      <c r="B115" s="58"/>
      <c r="C115" s="58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  <c r="AA115" s="58"/>
      <c r="AB115" s="58"/>
      <c r="AC115" s="58"/>
    </row>
    <row r="116">
      <c r="A116" s="58"/>
      <c r="B116" s="58"/>
      <c r="C116" s="58"/>
      <c r="D116" s="58"/>
      <c r="E116" s="58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  <c r="AA116" s="58"/>
      <c r="AB116" s="58"/>
      <c r="AC116" s="58"/>
    </row>
    <row r="117">
      <c r="A117" s="58"/>
      <c r="B117" s="58"/>
      <c r="C117" s="58"/>
      <c r="D117" s="58"/>
      <c r="E117" s="58"/>
      <c r="F117" s="58"/>
      <c r="G117" s="58"/>
      <c r="H117" s="58"/>
      <c r="I117" s="58"/>
      <c r="J117" s="58"/>
      <c r="K117" s="58"/>
      <c r="L117" s="58"/>
      <c r="M117" s="58"/>
      <c r="N117" s="58"/>
      <c r="O117" s="58"/>
      <c r="P117" s="58"/>
      <c r="Q117" s="58"/>
      <c r="R117" s="58"/>
      <c r="S117" s="58"/>
      <c r="T117" s="58"/>
      <c r="U117" s="58"/>
      <c r="V117" s="58"/>
      <c r="W117" s="58"/>
      <c r="X117" s="58"/>
      <c r="Y117" s="58"/>
      <c r="Z117" s="58"/>
      <c r="AA117" s="58"/>
      <c r="AB117" s="58"/>
      <c r="AC117" s="58"/>
    </row>
    <row r="118">
      <c r="A118" s="58"/>
      <c r="B118" s="58"/>
      <c r="C118" s="58"/>
      <c r="D118" s="58"/>
      <c r="E118" s="58"/>
      <c r="F118" s="58"/>
      <c r="G118" s="58"/>
      <c r="H118" s="58"/>
      <c r="I118" s="58"/>
      <c r="J118" s="58"/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  <c r="Y118" s="58"/>
      <c r="Z118" s="58"/>
      <c r="AA118" s="58"/>
      <c r="AB118" s="58"/>
      <c r="AC118" s="58"/>
    </row>
    <row r="119">
      <c r="A119" s="58"/>
      <c r="B119" s="58"/>
      <c r="C119" s="58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  <c r="Y119" s="58"/>
      <c r="Z119" s="58"/>
      <c r="AA119" s="58"/>
      <c r="AB119" s="58"/>
      <c r="AC119" s="58"/>
    </row>
    <row r="120">
      <c r="A120" s="58"/>
      <c r="B120" s="58"/>
      <c r="C120" s="58"/>
      <c r="D120" s="58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  <c r="Y120" s="58"/>
      <c r="Z120" s="58"/>
      <c r="AA120" s="58"/>
      <c r="AB120" s="58"/>
      <c r="AC120" s="58"/>
    </row>
    <row r="121">
      <c r="A121" s="58"/>
      <c r="B121" s="58"/>
      <c r="C121" s="58"/>
      <c r="D121" s="58"/>
      <c r="E121" s="58"/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  <c r="AA121" s="58"/>
      <c r="AB121" s="58"/>
      <c r="AC121" s="58"/>
    </row>
    <row r="122">
      <c r="A122" s="58"/>
      <c r="B122" s="58"/>
      <c r="C122" s="58"/>
      <c r="D122" s="58"/>
      <c r="E122" s="58"/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  <c r="AA122" s="58"/>
      <c r="AB122" s="58"/>
      <c r="AC122" s="58"/>
    </row>
    <row r="123">
      <c r="A123" s="58"/>
      <c r="B123" s="58"/>
      <c r="C123" s="58"/>
      <c r="D123" s="58"/>
      <c r="E123" s="58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  <c r="AA123" s="58"/>
      <c r="AB123" s="58"/>
      <c r="AC123" s="58"/>
    </row>
    <row r="124">
      <c r="A124" s="58"/>
      <c r="B124" s="58"/>
      <c r="C124" s="58"/>
      <c r="D124" s="58"/>
      <c r="E124" s="58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  <c r="AA124" s="58"/>
      <c r="AB124" s="58"/>
      <c r="AC124" s="58"/>
    </row>
    <row r="125">
      <c r="A125" s="58"/>
      <c r="B125" s="58"/>
      <c r="C125" s="58"/>
      <c r="D125" s="58"/>
      <c r="E125" s="58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  <c r="AA125" s="58"/>
      <c r="AB125" s="58"/>
      <c r="AC125" s="58"/>
    </row>
    <row r="126">
      <c r="A126" s="58"/>
      <c r="B126" s="58"/>
      <c r="C126" s="58"/>
      <c r="D126" s="58"/>
      <c r="E126" s="58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  <c r="AA126" s="58"/>
      <c r="AB126" s="58"/>
      <c r="AC126" s="58"/>
    </row>
    <row r="127">
      <c r="A127" s="58"/>
      <c r="B127" s="58"/>
      <c r="C127" s="58"/>
      <c r="D127" s="58"/>
      <c r="E127" s="58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  <c r="AA127" s="58"/>
      <c r="AB127" s="58"/>
      <c r="AC127" s="58"/>
    </row>
    <row r="128">
      <c r="A128" s="58"/>
      <c r="B128" s="58"/>
      <c r="C128" s="58"/>
      <c r="D128" s="58"/>
      <c r="E128" s="58"/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  <c r="AA128" s="58"/>
      <c r="AB128" s="58"/>
      <c r="AC128" s="58"/>
    </row>
    <row r="129">
      <c r="A129" s="58"/>
      <c r="B129" s="58"/>
      <c r="C129" s="58"/>
      <c r="D129" s="58"/>
      <c r="E129" s="58"/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  <c r="AA129" s="58"/>
      <c r="AB129" s="58"/>
      <c r="AC129" s="58"/>
    </row>
    <row r="130">
      <c r="A130" s="58"/>
      <c r="B130" s="58"/>
      <c r="C130" s="58"/>
      <c r="D130" s="58"/>
      <c r="E130" s="58"/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  <c r="AA130" s="58"/>
      <c r="AB130" s="58"/>
      <c r="AC130" s="58"/>
    </row>
    <row r="131">
      <c r="A131" s="58"/>
      <c r="B131" s="58"/>
      <c r="C131" s="58"/>
      <c r="D131" s="58"/>
      <c r="E131" s="58"/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  <c r="AA131" s="58"/>
      <c r="AB131" s="58"/>
      <c r="AC131" s="58"/>
    </row>
    <row r="132">
      <c r="A132" s="58"/>
      <c r="B132" s="58"/>
      <c r="C132" s="58"/>
      <c r="D132" s="58"/>
      <c r="E132" s="58"/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  <c r="AA132" s="58"/>
      <c r="AB132" s="58"/>
      <c r="AC132" s="58"/>
    </row>
    <row r="133">
      <c r="A133" s="58"/>
      <c r="B133" s="58"/>
      <c r="C133" s="58"/>
      <c r="D133" s="58"/>
      <c r="E133" s="58"/>
      <c r="F133" s="58"/>
      <c r="G133" s="58"/>
      <c r="H133" s="58"/>
      <c r="I133" s="58"/>
      <c r="J133" s="58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  <c r="Y133" s="58"/>
      <c r="Z133" s="58"/>
      <c r="AA133" s="58"/>
      <c r="AB133" s="58"/>
      <c r="AC133" s="58"/>
    </row>
    <row r="134">
      <c r="A134" s="58"/>
      <c r="B134" s="58"/>
      <c r="C134" s="58"/>
      <c r="D134" s="58"/>
      <c r="E134" s="58"/>
      <c r="F134" s="58"/>
      <c r="G134" s="58"/>
      <c r="H134" s="58"/>
      <c r="I134" s="58"/>
      <c r="J134" s="58"/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  <c r="Y134" s="58"/>
      <c r="Z134" s="58"/>
      <c r="AA134" s="58"/>
      <c r="AB134" s="58"/>
      <c r="AC134" s="58"/>
    </row>
    <row r="135">
      <c r="A135" s="58"/>
      <c r="B135" s="58"/>
      <c r="C135" s="58"/>
      <c r="D135" s="58"/>
      <c r="E135" s="58"/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  <c r="AA135" s="58"/>
      <c r="AB135" s="58"/>
      <c r="AC135" s="58"/>
    </row>
    <row r="136">
      <c r="A136" s="58"/>
      <c r="B136" s="58"/>
      <c r="C136" s="58"/>
      <c r="D136" s="58"/>
      <c r="E136" s="58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  <c r="AA136" s="58"/>
      <c r="AB136" s="58"/>
      <c r="AC136" s="58"/>
    </row>
    <row r="137">
      <c r="A137" s="58"/>
      <c r="B137" s="58"/>
      <c r="C137" s="58"/>
      <c r="D137" s="58"/>
      <c r="E137" s="58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  <c r="AA137" s="58"/>
      <c r="AB137" s="58"/>
      <c r="AC137" s="58"/>
    </row>
    <row r="138">
      <c r="A138" s="58"/>
      <c r="B138" s="58"/>
      <c r="C138" s="58"/>
      <c r="D138" s="58"/>
      <c r="E138" s="58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  <c r="AA138" s="58"/>
      <c r="AB138" s="58"/>
      <c r="AC138" s="58"/>
    </row>
    <row r="139">
      <c r="A139" s="58"/>
      <c r="B139" s="58"/>
      <c r="C139" s="58"/>
      <c r="D139" s="58"/>
      <c r="E139" s="58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  <c r="AA139" s="58"/>
      <c r="AB139" s="58"/>
      <c r="AC139" s="58"/>
    </row>
    <row r="140">
      <c r="A140" s="58"/>
      <c r="B140" s="58"/>
      <c r="C140" s="58"/>
      <c r="D140" s="58"/>
      <c r="E140" s="58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  <c r="AA140" s="58"/>
      <c r="AB140" s="58"/>
      <c r="AC140" s="58"/>
    </row>
    <row r="141">
      <c r="A141" s="58"/>
      <c r="B141" s="58"/>
      <c r="C141" s="58"/>
      <c r="D141" s="58"/>
      <c r="E141" s="58"/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  <c r="AA141" s="58"/>
      <c r="AB141" s="58"/>
      <c r="AC141" s="58"/>
    </row>
    <row r="142">
      <c r="A142" s="58"/>
      <c r="B142" s="58"/>
      <c r="C142" s="58"/>
      <c r="D142" s="58"/>
      <c r="E142" s="58"/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  <c r="AA142" s="58"/>
      <c r="AB142" s="58"/>
      <c r="AC142" s="58"/>
    </row>
    <row r="143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</row>
    <row r="144">
      <c r="A144" s="58"/>
      <c r="B144" s="58"/>
      <c r="C144" s="58"/>
      <c r="D144" s="58"/>
      <c r="E144" s="58"/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  <c r="AA144" s="58"/>
      <c r="AB144" s="58"/>
      <c r="AC144" s="58"/>
    </row>
    <row r="145">
      <c r="A145" s="58"/>
      <c r="B145" s="58"/>
      <c r="C145" s="58"/>
      <c r="D145" s="58"/>
      <c r="E145" s="58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  <c r="AA145" s="58"/>
      <c r="AB145" s="58"/>
      <c r="AC145" s="58"/>
    </row>
    <row r="146">
      <c r="A146" s="58"/>
      <c r="B146" s="58"/>
      <c r="C146" s="58"/>
      <c r="D146" s="58"/>
      <c r="E146" s="58"/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  <c r="AA146" s="58"/>
      <c r="AB146" s="58"/>
      <c r="AC146" s="58"/>
    </row>
    <row r="147">
      <c r="A147" s="58"/>
      <c r="B147" s="58"/>
      <c r="C147" s="58"/>
      <c r="D147" s="58"/>
      <c r="E147" s="58"/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  <c r="AA147" s="58"/>
      <c r="AB147" s="58"/>
      <c r="AC147" s="58"/>
    </row>
    <row r="148">
      <c r="A148" s="58"/>
      <c r="B148" s="58"/>
      <c r="C148" s="58"/>
      <c r="D148" s="58"/>
      <c r="E148" s="58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  <c r="AA148" s="58"/>
      <c r="AB148" s="58"/>
      <c r="AC148" s="58"/>
    </row>
    <row r="149">
      <c r="A149" s="58"/>
      <c r="B149" s="58"/>
      <c r="C149" s="58"/>
      <c r="D149" s="58"/>
      <c r="E149" s="58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  <c r="AA149" s="58"/>
      <c r="AB149" s="58"/>
      <c r="AC149" s="58"/>
    </row>
    <row r="150">
      <c r="A150" s="58"/>
      <c r="B150" s="58"/>
      <c r="C150" s="58"/>
      <c r="D150" s="58"/>
      <c r="E150" s="58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  <c r="AA150" s="58"/>
      <c r="AB150" s="58"/>
      <c r="AC150" s="58"/>
    </row>
    <row r="151">
      <c r="A151" s="58"/>
      <c r="B151" s="58"/>
      <c r="C151" s="58"/>
      <c r="D151" s="58"/>
      <c r="E151" s="58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  <c r="AA151" s="58"/>
      <c r="AB151" s="58"/>
      <c r="AC151" s="58"/>
    </row>
    <row r="152">
      <c r="A152" s="58"/>
      <c r="B152" s="58"/>
      <c r="C152" s="58"/>
      <c r="D152" s="58"/>
      <c r="E152" s="58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  <c r="AA152" s="58"/>
      <c r="AB152" s="58"/>
      <c r="AC152" s="58"/>
    </row>
    <row r="153">
      <c r="A153" s="58"/>
      <c r="B153" s="58"/>
      <c r="C153" s="58"/>
      <c r="D153" s="58"/>
      <c r="E153" s="58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  <c r="AA153" s="58"/>
      <c r="AB153" s="58"/>
      <c r="AC153" s="58"/>
    </row>
    <row r="154">
      <c r="A154" s="58"/>
      <c r="B154" s="58"/>
      <c r="C154" s="58"/>
      <c r="D154" s="58"/>
      <c r="E154" s="58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  <c r="AA154" s="58"/>
      <c r="AB154" s="58"/>
      <c r="AC154" s="58"/>
    </row>
    <row r="155">
      <c r="A155" s="58"/>
      <c r="B155" s="58"/>
      <c r="C155" s="58"/>
      <c r="D155" s="58"/>
      <c r="E155" s="58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  <c r="AA155" s="58"/>
      <c r="AB155" s="58"/>
      <c r="AC155" s="58"/>
    </row>
    <row r="156">
      <c r="A156" s="58"/>
      <c r="B156" s="58"/>
      <c r="C156" s="58"/>
      <c r="D156" s="58"/>
      <c r="E156" s="58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  <c r="AA156" s="58"/>
      <c r="AB156" s="58"/>
      <c r="AC156" s="58"/>
    </row>
    <row r="157">
      <c r="A157" s="58"/>
      <c r="B157" s="58"/>
      <c r="C157" s="58"/>
      <c r="D157" s="58"/>
      <c r="E157" s="58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  <c r="AA157" s="58"/>
      <c r="AB157" s="58"/>
      <c r="AC157" s="58"/>
    </row>
    <row r="158">
      <c r="A158" s="58"/>
      <c r="B158" s="58"/>
      <c r="C158" s="58"/>
      <c r="D158" s="58"/>
      <c r="E158" s="58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  <c r="AA158" s="58"/>
      <c r="AB158" s="58"/>
      <c r="AC158" s="58"/>
    </row>
    <row r="159">
      <c r="A159" s="58"/>
      <c r="B159" s="58"/>
      <c r="C159" s="58"/>
      <c r="D159" s="58"/>
      <c r="E159" s="58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  <c r="AA159" s="58"/>
      <c r="AB159" s="58"/>
      <c r="AC159" s="58"/>
    </row>
    <row r="160">
      <c r="A160" s="58"/>
      <c r="B160" s="58"/>
      <c r="C160" s="58"/>
      <c r="D160" s="58"/>
      <c r="E160" s="58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  <c r="AA160" s="58"/>
      <c r="AB160" s="58"/>
      <c r="AC160" s="58"/>
    </row>
    <row r="161">
      <c r="A161" s="58"/>
      <c r="B161" s="58"/>
      <c r="C161" s="58"/>
      <c r="D161" s="58"/>
      <c r="E161" s="58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  <c r="AA161" s="58"/>
      <c r="AB161" s="58"/>
      <c r="AC161" s="58"/>
    </row>
    <row r="162">
      <c r="A162" s="58"/>
      <c r="B162" s="58"/>
      <c r="C162" s="58"/>
      <c r="D162" s="58"/>
      <c r="E162" s="58"/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  <c r="AA162" s="58"/>
      <c r="AB162" s="58"/>
      <c r="AC162" s="58"/>
    </row>
    <row r="163">
      <c r="A163" s="58"/>
      <c r="B163" s="58"/>
      <c r="C163" s="58"/>
      <c r="D163" s="58"/>
      <c r="E163" s="58"/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  <c r="AA163" s="58"/>
      <c r="AB163" s="58"/>
      <c r="AC163" s="58"/>
    </row>
    <row r="164">
      <c r="A164" s="58"/>
      <c r="B164" s="58"/>
      <c r="C164" s="58"/>
      <c r="D164" s="58"/>
      <c r="E164" s="58"/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  <c r="AA164" s="58"/>
      <c r="AB164" s="58"/>
      <c r="AC164" s="58"/>
    </row>
    <row r="165">
      <c r="A165" s="58"/>
      <c r="B165" s="58"/>
      <c r="C165" s="58"/>
      <c r="D165" s="58"/>
      <c r="E165" s="58"/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  <c r="AA165" s="58"/>
      <c r="AB165" s="58"/>
      <c r="AC165" s="58"/>
    </row>
    <row r="166">
      <c r="A166" s="58"/>
      <c r="B166" s="58"/>
      <c r="C166" s="58"/>
      <c r="D166" s="58"/>
      <c r="E166" s="58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  <c r="AA166" s="58"/>
      <c r="AB166" s="58"/>
      <c r="AC166" s="58"/>
    </row>
    <row r="167">
      <c r="A167" s="58"/>
      <c r="B167" s="58"/>
      <c r="C167" s="58"/>
      <c r="D167" s="58"/>
      <c r="E167" s="58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  <c r="AA167" s="58"/>
      <c r="AB167" s="58"/>
      <c r="AC167" s="58"/>
    </row>
    <row r="168">
      <c r="A168" s="58"/>
      <c r="B168" s="58"/>
      <c r="C168" s="58"/>
      <c r="D168" s="58"/>
      <c r="E168" s="58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  <c r="AA168" s="58"/>
      <c r="AB168" s="58"/>
      <c r="AC168" s="58"/>
    </row>
    <row r="169">
      <c r="A169" s="58"/>
      <c r="B169" s="58"/>
      <c r="C169" s="58"/>
      <c r="D169" s="58"/>
      <c r="E169" s="58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  <c r="AA169" s="58"/>
      <c r="AB169" s="58"/>
      <c r="AC169" s="58"/>
    </row>
    <row r="170">
      <c r="A170" s="58"/>
      <c r="B170" s="58"/>
      <c r="C170" s="58"/>
      <c r="D170" s="58"/>
      <c r="E170" s="58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  <c r="AA170" s="58"/>
      <c r="AB170" s="58"/>
      <c r="AC170" s="58"/>
    </row>
    <row r="171">
      <c r="A171" s="58"/>
      <c r="B171" s="58"/>
      <c r="C171" s="58"/>
      <c r="D171" s="58"/>
      <c r="E171" s="58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58"/>
      <c r="AB171" s="58"/>
      <c r="AC171" s="58"/>
    </row>
    <row r="172">
      <c r="A172" s="58"/>
      <c r="B172" s="58"/>
      <c r="C172" s="58"/>
      <c r="D172" s="58"/>
      <c r="E172" s="58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  <c r="AA172" s="58"/>
      <c r="AB172" s="58"/>
      <c r="AC172" s="58"/>
    </row>
    <row r="173">
      <c r="A173" s="58"/>
      <c r="B173" s="58"/>
      <c r="C173" s="58"/>
      <c r="D173" s="58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58"/>
      <c r="AB173" s="58"/>
      <c r="AC173" s="58"/>
    </row>
    <row r="174">
      <c r="A174" s="58"/>
      <c r="B174" s="58"/>
      <c r="C174" s="58"/>
      <c r="D174" s="58"/>
      <c r="E174" s="58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  <c r="AA174" s="58"/>
      <c r="AB174" s="58"/>
      <c r="AC174" s="58"/>
    </row>
    <row r="175">
      <c r="A175" s="58"/>
      <c r="B175" s="58"/>
      <c r="C175" s="58"/>
      <c r="D175" s="58"/>
      <c r="E175" s="58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  <c r="AA175" s="58"/>
      <c r="AB175" s="58"/>
      <c r="AC175" s="58"/>
    </row>
    <row r="176">
      <c r="A176" s="58"/>
      <c r="B176" s="58"/>
      <c r="C176" s="58"/>
      <c r="D176" s="58"/>
      <c r="E176" s="58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</row>
    <row r="177">
      <c r="A177" s="58"/>
      <c r="B177" s="58"/>
      <c r="C177" s="58"/>
      <c r="D177" s="58"/>
      <c r="E177" s="58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  <c r="AA177" s="58"/>
      <c r="AB177" s="58"/>
      <c r="AC177" s="58"/>
    </row>
    <row r="178">
      <c r="A178" s="58"/>
      <c r="B178" s="58"/>
      <c r="C178" s="58"/>
      <c r="D178" s="58"/>
      <c r="E178" s="58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  <c r="AA178" s="58"/>
      <c r="AB178" s="58"/>
      <c r="AC178" s="58"/>
    </row>
    <row r="179">
      <c r="A179" s="58"/>
      <c r="B179" s="58"/>
      <c r="C179" s="58"/>
      <c r="D179" s="58"/>
      <c r="E179" s="58"/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</row>
    <row r="180">
      <c r="A180" s="58"/>
      <c r="B180" s="58"/>
      <c r="C180" s="58"/>
      <c r="D180" s="58"/>
      <c r="E180" s="58"/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</row>
    <row r="181">
      <c r="A181" s="58"/>
      <c r="B181" s="58"/>
      <c r="C181" s="58"/>
      <c r="D181" s="58"/>
      <c r="E181" s="58"/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</row>
    <row r="182">
      <c r="A182" s="58"/>
      <c r="B182" s="58"/>
      <c r="C182" s="58"/>
      <c r="D182" s="58"/>
      <c r="E182" s="58"/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  <c r="AA182" s="58"/>
      <c r="AB182" s="58"/>
      <c r="AC182" s="58"/>
    </row>
    <row r="183">
      <c r="A183" s="58"/>
      <c r="B183" s="58"/>
      <c r="C183" s="58"/>
      <c r="D183" s="58"/>
      <c r="E183" s="58"/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</row>
    <row r="184">
      <c r="A184" s="58"/>
      <c r="B184" s="58"/>
      <c r="C184" s="58"/>
      <c r="D184" s="58"/>
      <c r="E184" s="58"/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</row>
    <row r="185">
      <c r="A185" s="58"/>
      <c r="B185" s="58"/>
      <c r="C185" s="58"/>
      <c r="D185" s="58"/>
      <c r="E185" s="58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  <c r="AA185" s="58"/>
      <c r="AB185" s="58"/>
      <c r="AC185" s="58"/>
    </row>
    <row r="186">
      <c r="A186" s="58"/>
      <c r="B186" s="58"/>
      <c r="C186" s="58"/>
      <c r="D186" s="58"/>
      <c r="E186" s="58"/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  <c r="AA186" s="58"/>
      <c r="AB186" s="58"/>
      <c r="AC186" s="58"/>
    </row>
    <row r="187">
      <c r="A187" s="58"/>
      <c r="B187" s="58"/>
      <c r="C187" s="58"/>
      <c r="D187" s="58"/>
      <c r="E187" s="58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</row>
    <row r="188">
      <c r="A188" s="58"/>
      <c r="B188" s="58"/>
      <c r="C188" s="58"/>
      <c r="D188" s="58"/>
      <c r="E188" s="58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  <c r="AA188" s="58"/>
      <c r="AB188" s="58"/>
      <c r="AC188" s="58"/>
    </row>
    <row r="189">
      <c r="A189" s="58"/>
      <c r="B189" s="58"/>
      <c r="C189" s="58"/>
      <c r="D189" s="58"/>
      <c r="E189" s="58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  <c r="AA189" s="58"/>
      <c r="AB189" s="58"/>
      <c r="AC189" s="58"/>
    </row>
    <row r="190">
      <c r="A190" s="58"/>
      <c r="B190" s="58"/>
      <c r="C190" s="58"/>
      <c r="D190" s="58"/>
      <c r="E190" s="58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  <c r="AA190" s="58"/>
      <c r="AB190" s="58"/>
      <c r="AC190" s="58"/>
    </row>
    <row r="191">
      <c r="A191" s="58"/>
      <c r="B191" s="58"/>
      <c r="C191" s="58"/>
      <c r="D191" s="58"/>
      <c r="E191" s="58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  <c r="AA191" s="58"/>
      <c r="AB191" s="58"/>
      <c r="AC191" s="58"/>
    </row>
    <row r="192">
      <c r="A192" s="58"/>
      <c r="B192" s="58"/>
      <c r="C192" s="58"/>
      <c r="D192" s="58"/>
      <c r="E192" s="58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  <c r="AA192" s="58"/>
      <c r="AB192" s="58"/>
      <c r="AC192" s="58"/>
    </row>
    <row r="193">
      <c r="A193" s="58"/>
      <c r="B193" s="58"/>
      <c r="C193" s="58"/>
      <c r="D193" s="58"/>
      <c r="E193" s="58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  <c r="AA193" s="58"/>
      <c r="AB193" s="58"/>
      <c r="AC193" s="58"/>
    </row>
    <row r="194">
      <c r="A194" s="58"/>
      <c r="B194" s="58"/>
      <c r="C194" s="58"/>
      <c r="D194" s="58"/>
      <c r="E194" s="58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  <c r="AA194" s="58"/>
      <c r="AB194" s="58"/>
      <c r="AC194" s="58"/>
    </row>
    <row r="195">
      <c r="A195" s="58"/>
      <c r="B195" s="58"/>
      <c r="C195" s="58"/>
      <c r="D195" s="58"/>
      <c r="E195" s="58"/>
      <c r="F195" s="58"/>
      <c r="G195" s="58"/>
      <c r="H195" s="58"/>
      <c r="I195" s="58"/>
      <c r="J195" s="58"/>
      <c r="K195" s="58"/>
      <c r="L195" s="58"/>
      <c r="M195" s="58"/>
      <c r="N195" s="58"/>
      <c r="O195" s="58"/>
      <c r="P195" s="58"/>
      <c r="Q195" s="58"/>
      <c r="R195" s="58"/>
      <c r="S195" s="58"/>
      <c r="T195" s="58"/>
      <c r="U195" s="58"/>
      <c r="V195" s="58"/>
      <c r="W195" s="58"/>
      <c r="X195" s="58"/>
      <c r="Y195" s="58"/>
      <c r="Z195" s="58"/>
      <c r="AA195" s="58"/>
      <c r="AB195" s="58"/>
      <c r="AC195" s="58"/>
    </row>
    <row r="196">
      <c r="A196" s="58"/>
      <c r="B196" s="58"/>
      <c r="C196" s="58"/>
      <c r="D196" s="58"/>
      <c r="E196" s="58"/>
      <c r="F196" s="58"/>
      <c r="G196" s="58"/>
      <c r="H196" s="58"/>
      <c r="I196" s="58"/>
      <c r="J196" s="58"/>
      <c r="K196" s="58"/>
      <c r="L196" s="58"/>
      <c r="M196" s="58"/>
      <c r="N196" s="58"/>
      <c r="O196" s="58"/>
      <c r="P196" s="58"/>
      <c r="Q196" s="58"/>
      <c r="R196" s="58"/>
      <c r="S196" s="58"/>
      <c r="T196" s="58"/>
      <c r="U196" s="58"/>
      <c r="V196" s="58"/>
      <c r="W196" s="58"/>
      <c r="X196" s="58"/>
      <c r="Y196" s="58"/>
      <c r="Z196" s="58"/>
      <c r="AA196" s="58"/>
      <c r="AB196" s="58"/>
      <c r="AC196" s="58"/>
    </row>
    <row r="197">
      <c r="A197" s="58"/>
      <c r="B197" s="58"/>
      <c r="C197" s="58"/>
      <c r="D197" s="58"/>
      <c r="E197" s="58"/>
      <c r="F197" s="58"/>
      <c r="G197" s="58"/>
      <c r="H197" s="58"/>
      <c r="I197" s="58"/>
      <c r="J197" s="58"/>
      <c r="K197" s="58"/>
      <c r="L197" s="58"/>
      <c r="M197" s="58"/>
      <c r="N197" s="58"/>
      <c r="O197" s="58"/>
      <c r="P197" s="58"/>
      <c r="Q197" s="58"/>
      <c r="R197" s="58"/>
      <c r="S197" s="58"/>
      <c r="T197" s="58"/>
      <c r="U197" s="58"/>
      <c r="V197" s="58"/>
      <c r="W197" s="58"/>
      <c r="X197" s="58"/>
      <c r="Y197" s="58"/>
      <c r="Z197" s="58"/>
      <c r="AA197" s="58"/>
      <c r="AB197" s="58"/>
      <c r="AC197" s="58"/>
    </row>
    <row r="198">
      <c r="A198" s="58"/>
      <c r="B198" s="58"/>
      <c r="C198" s="58"/>
      <c r="D198" s="58"/>
      <c r="E198" s="58"/>
      <c r="F198" s="58"/>
      <c r="G198" s="58"/>
      <c r="H198" s="58"/>
      <c r="I198" s="58"/>
      <c r="J198" s="58"/>
      <c r="K198" s="58"/>
      <c r="L198" s="58"/>
      <c r="M198" s="58"/>
      <c r="N198" s="58"/>
      <c r="O198" s="58"/>
      <c r="P198" s="58"/>
      <c r="Q198" s="58"/>
      <c r="R198" s="58"/>
      <c r="S198" s="58"/>
      <c r="T198" s="58"/>
      <c r="U198" s="58"/>
      <c r="V198" s="58"/>
      <c r="W198" s="58"/>
      <c r="X198" s="58"/>
      <c r="Y198" s="58"/>
      <c r="Z198" s="58"/>
      <c r="AA198" s="58"/>
      <c r="AB198" s="58"/>
      <c r="AC198" s="58"/>
    </row>
    <row r="199">
      <c r="A199" s="58"/>
      <c r="B199" s="58"/>
      <c r="C199" s="58"/>
      <c r="D199" s="58"/>
      <c r="E199" s="58"/>
      <c r="F199" s="58"/>
      <c r="G199" s="58"/>
      <c r="H199" s="58"/>
      <c r="I199" s="58"/>
      <c r="J199" s="58"/>
      <c r="K199" s="58"/>
      <c r="L199" s="58"/>
      <c r="M199" s="58"/>
      <c r="N199" s="58"/>
      <c r="O199" s="58"/>
      <c r="P199" s="58"/>
      <c r="Q199" s="58"/>
      <c r="R199" s="58"/>
      <c r="S199" s="58"/>
      <c r="T199" s="58"/>
      <c r="U199" s="58"/>
      <c r="V199" s="58"/>
      <c r="W199" s="58"/>
      <c r="X199" s="58"/>
      <c r="Y199" s="58"/>
      <c r="Z199" s="58"/>
      <c r="AA199" s="58"/>
      <c r="AB199" s="58"/>
      <c r="AC199" s="58"/>
    </row>
    <row r="200">
      <c r="A200" s="58"/>
      <c r="B200" s="58"/>
      <c r="C200" s="58"/>
      <c r="D200" s="58"/>
      <c r="E200" s="58"/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  <c r="AA200" s="58"/>
      <c r="AB200" s="58"/>
      <c r="AC200" s="58"/>
    </row>
    <row r="201">
      <c r="A201" s="58"/>
      <c r="B201" s="58"/>
      <c r="C201" s="58"/>
      <c r="D201" s="58"/>
      <c r="E201" s="58"/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  <c r="AA201" s="58"/>
      <c r="AB201" s="58"/>
      <c r="AC201" s="58"/>
    </row>
    <row r="202">
      <c r="A202" s="58"/>
      <c r="B202" s="58"/>
      <c r="C202" s="58"/>
      <c r="D202" s="58"/>
      <c r="E202" s="58"/>
      <c r="F202" s="58"/>
      <c r="G202" s="58"/>
      <c r="H202" s="58"/>
      <c r="I202" s="58"/>
      <c r="J202" s="58"/>
      <c r="K202" s="58"/>
      <c r="L202" s="58"/>
      <c r="M202" s="58"/>
      <c r="N202" s="58"/>
      <c r="O202" s="58"/>
      <c r="P202" s="58"/>
      <c r="Q202" s="58"/>
      <c r="R202" s="58"/>
      <c r="S202" s="58"/>
      <c r="T202" s="58"/>
      <c r="U202" s="58"/>
      <c r="V202" s="58"/>
      <c r="W202" s="58"/>
      <c r="X202" s="58"/>
      <c r="Y202" s="58"/>
      <c r="Z202" s="58"/>
      <c r="AA202" s="58"/>
      <c r="AB202" s="58"/>
      <c r="AC202" s="58"/>
    </row>
    <row r="203">
      <c r="A203" s="58"/>
      <c r="B203" s="58"/>
      <c r="C203" s="58"/>
      <c r="D203" s="58"/>
      <c r="E203" s="58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  <c r="AA203" s="58"/>
      <c r="AB203" s="58"/>
      <c r="AC203" s="58"/>
    </row>
    <row r="204">
      <c r="A204" s="58"/>
      <c r="B204" s="58"/>
      <c r="C204" s="58"/>
      <c r="D204" s="58"/>
      <c r="E204" s="58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  <c r="AA204" s="58"/>
      <c r="AB204" s="58"/>
      <c r="AC204" s="58"/>
    </row>
    <row r="205">
      <c r="A205" s="58"/>
      <c r="B205" s="58"/>
      <c r="C205" s="58"/>
      <c r="D205" s="58"/>
      <c r="E205" s="58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  <c r="AA205" s="58"/>
      <c r="AB205" s="58"/>
      <c r="AC205" s="58"/>
    </row>
    <row r="206">
      <c r="A206" s="58"/>
      <c r="B206" s="58"/>
      <c r="C206" s="58"/>
      <c r="D206" s="58"/>
      <c r="E206" s="58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  <c r="AA206" s="58"/>
      <c r="AB206" s="58"/>
      <c r="AC206" s="58"/>
    </row>
    <row r="207">
      <c r="A207" s="58"/>
      <c r="B207" s="58"/>
      <c r="C207" s="58"/>
      <c r="D207" s="58"/>
      <c r="E207" s="58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  <c r="AA207" s="58"/>
      <c r="AB207" s="58"/>
      <c r="AC207" s="58"/>
    </row>
    <row r="208">
      <c r="A208" s="58"/>
      <c r="B208" s="58"/>
      <c r="C208" s="58"/>
      <c r="D208" s="58"/>
      <c r="E208" s="58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  <c r="AA208" s="58"/>
      <c r="AB208" s="58"/>
      <c r="AC208" s="58"/>
    </row>
    <row r="209">
      <c r="A209" s="58"/>
      <c r="B209" s="58"/>
      <c r="C209" s="58"/>
      <c r="D209" s="58"/>
      <c r="E209" s="58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  <c r="AA209" s="58"/>
      <c r="AB209" s="58"/>
      <c r="AC209" s="58"/>
    </row>
    <row r="210">
      <c r="A210" s="58"/>
      <c r="B210" s="58"/>
      <c r="C210" s="58"/>
      <c r="D210" s="58"/>
      <c r="E210" s="58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58"/>
      <c r="AB210" s="58"/>
      <c r="AC210" s="58"/>
    </row>
    <row r="211">
      <c r="A211" s="58"/>
      <c r="B211" s="58"/>
      <c r="C211" s="58"/>
      <c r="D211" s="58"/>
      <c r="E211" s="58"/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  <c r="AA211" s="58"/>
      <c r="AB211" s="58"/>
      <c r="AC211" s="58"/>
    </row>
    <row r="212">
      <c r="A212" s="58"/>
      <c r="B212" s="58"/>
      <c r="C212" s="58"/>
      <c r="D212" s="58"/>
      <c r="E212" s="58"/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  <c r="AA212" s="58"/>
      <c r="AB212" s="58"/>
      <c r="AC212" s="58"/>
    </row>
    <row r="213">
      <c r="A213" s="58"/>
      <c r="B213" s="58"/>
      <c r="C213" s="58"/>
      <c r="D213" s="58"/>
      <c r="E213" s="58"/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  <c r="AA213" s="58"/>
      <c r="AB213" s="58"/>
      <c r="AC213" s="58"/>
    </row>
    <row r="214">
      <c r="A214" s="58"/>
      <c r="B214" s="58"/>
      <c r="C214" s="58"/>
      <c r="D214" s="58"/>
      <c r="E214" s="58"/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  <c r="AA214" s="58"/>
      <c r="AB214" s="58"/>
      <c r="AC214" s="58"/>
    </row>
    <row r="215">
      <c r="A215" s="58"/>
      <c r="B215" s="58"/>
      <c r="C215" s="58"/>
      <c r="D215" s="58"/>
      <c r="E215" s="58"/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  <c r="AA215" s="58"/>
      <c r="AB215" s="58"/>
      <c r="AC215" s="58"/>
    </row>
    <row r="216">
      <c r="A216" s="58"/>
      <c r="B216" s="58"/>
      <c r="C216" s="58"/>
      <c r="D216" s="58"/>
      <c r="E216" s="58"/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  <c r="AA216" s="58"/>
      <c r="AB216" s="58"/>
      <c r="AC216" s="58"/>
    </row>
    <row r="217">
      <c r="A217" s="58"/>
      <c r="B217" s="58"/>
      <c r="C217" s="58"/>
      <c r="D217" s="58"/>
      <c r="E217" s="58"/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  <c r="AA217" s="58"/>
      <c r="AB217" s="58"/>
      <c r="AC217" s="58"/>
    </row>
    <row r="218">
      <c r="A218" s="58"/>
      <c r="B218" s="58"/>
      <c r="C218" s="58"/>
      <c r="D218" s="58"/>
      <c r="E218" s="58"/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  <c r="AA218" s="58"/>
      <c r="AB218" s="58"/>
      <c r="AC218" s="58"/>
    </row>
    <row r="219">
      <c r="A219" s="58"/>
      <c r="B219" s="58"/>
      <c r="C219" s="58"/>
      <c r="D219" s="58"/>
      <c r="E219" s="58"/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  <c r="AA219" s="58"/>
      <c r="AB219" s="58"/>
      <c r="AC219" s="58"/>
    </row>
    <row r="220">
      <c r="A220" s="58"/>
      <c r="B220" s="58"/>
      <c r="C220" s="58"/>
      <c r="D220" s="58"/>
      <c r="E220" s="58"/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  <c r="AA220" s="58"/>
      <c r="AB220" s="58"/>
      <c r="AC220" s="58"/>
    </row>
    <row r="221">
      <c r="A221" s="58"/>
      <c r="B221" s="58"/>
      <c r="C221" s="58"/>
      <c r="D221" s="58"/>
      <c r="E221" s="58"/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  <c r="AA221" s="58"/>
      <c r="AB221" s="58"/>
      <c r="AC221" s="58"/>
    </row>
    <row r="222">
      <c r="A222" s="58"/>
      <c r="B222" s="58"/>
      <c r="C222" s="58"/>
      <c r="D222" s="58"/>
      <c r="E222" s="58"/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  <c r="AA222" s="58"/>
      <c r="AB222" s="58"/>
      <c r="AC222" s="58"/>
    </row>
    <row r="223">
      <c r="A223" s="58"/>
      <c r="B223" s="58"/>
      <c r="C223" s="58"/>
      <c r="D223" s="58"/>
      <c r="E223" s="58"/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  <c r="AA223" s="58"/>
      <c r="AB223" s="58"/>
      <c r="AC223" s="58"/>
    </row>
    <row r="224">
      <c r="A224" s="58"/>
      <c r="B224" s="58"/>
      <c r="C224" s="58"/>
      <c r="D224" s="58"/>
      <c r="E224" s="58"/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  <c r="AA224" s="58"/>
      <c r="AB224" s="58"/>
      <c r="AC224" s="58"/>
    </row>
    <row r="225">
      <c r="A225" s="58"/>
      <c r="B225" s="58"/>
      <c r="C225" s="58"/>
      <c r="D225" s="58"/>
      <c r="E225" s="58"/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  <c r="AA225" s="58"/>
      <c r="AB225" s="58"/>
      <c r="AC225" s="58"/>
    </row>
    <row r="226">
      <c r="A226" s="58"/>
      <c r="B226" s="58"/>
      <c r="C226" s="58"/>
      <c r="D226" s="58"/>
      <c r="E226" s="58"/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  <c r="AA226" s="58"/>
      <c r="AB226" s="58"/>
      <c r="AC226" s="58"/>
    </row>
    <row r="227">
      <c r="A227" s="58"/>
      <c r="B227" s="58"/>
      <c r="C227" s="58"/>
      <c r="D227" s="58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  <c r="AA227" s="58"/>
      <c r="AB227" s="58"/>
      <c r="AC227" s="58"/>
    </row>
    <row r="228">
      <c r="A228" s="58"/>
      <c r="B228" s="58"/>
      <c r="C228" s="58"/>
      <c r="D228" s="58"/>
      <c r="E228" s="58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  <c r="AA228" s="58"/>
      <c r="AB228" s="58"/>
      <c r="AC228" s="58"/>
    </row>
    <row r="229">
      <c r="A229" s="58"/>
      <c r="B229" s="58"/>
      <c r="C229" s="58"/>
      <c r="D229" s="58"/>
      <c r="E229" s="58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  <c r="AA229" s="58"/>
      <c r="AB229" s="58"/>
      <c r="AC229" s="58"/>
    </row>
    <row r="230">
      <c r="A230" s="58"/>
      <c r="B230" s="58"/>
      <c r="C230" s="58"/>
      <c r="D230" s="58"/>
      <c r="E230" s="58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  <c r="AA230" s="58"/>
      <c r="AB230" s="58"/>
      <c r="AC230" s="58"/>
    </row>
    <row r="231">
      <c r="A231" s="58"/>
      <c r="B231" s="58"/>
      <c r="C231" s="58"/>
      <c r="D231" s="58"/>
      <c r="E231" s="58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  <c r="AA231" s="58"/>
      <c r="AB231" s="58"/>
      <c r="AC231" s="58"/>
    </row>
    <row r="232">
      <c r="A232" s="58"/>
      <c r="B232" s="58"/>
      <c r="C232" s="58"/>
      <c r="D232" s="58"/>
      <c r="E232" s="58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  <c r="AA232" s="58"/>
      <c r="AB232" s="58"/>
      <c r="AC232" s="58"/>
    </row>
    <row r="233">
      <c r="A233" s="58"/>
      <c r="B233" s="58"/>
      <c r="C233" s="58"/>
      <c r="D233" s="58"/>
      <c r="E233" s="58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  <c r="AA233" s="58"/>
      <c r="AB233" s="58"/>
      <c r="AC233" s="58"/>
    </row>
    <row r="234">
      <c r="A234" s="58"/>
      <c r="B234" s="58"/>
      <c r="C234" s="58"/>
      <c r="D234" s="58"/>
      <c r="E234" s="58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  <c r="AA234" s="58"/>
      <c r="AB234" s="58"/>
      <c r="AC234" s="58"/>
    </row>
    <row r="235">
      <c r="A235" s="58"/>
      <c r="B235" s="58"/>
      <c r="C235" s="58"/>
      <c r="D235" s="58"/>
      <c r="E235" s="58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  <c r="AA235" s="58"/>
      <c r="AB235" s="58"/>
      <c r="AC235" s="58"/>
    </row>
    <row r="236">
      <c r="A236" s="58"/>
      <c r="B236" s="58"/>
      <c r="C236" s="58"/>
      <c r="D236" s="58"/>
      <c r="E236" s="58"/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  <c r="AA236" s="58"/>
      <c r="AB236" s="58"/>
      <c r="AC236" s="58"/>
    </row>
    <row r="237">
      <c r="A237" s="58"/>
      <c r="B237" s="58"/>
      <c r="C237" s="58"/>
      <c r="D237" s="58"/>
      <c r="E237" s="58"/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  <c r="AA237" s="58"/>
      <c r="AB237" s="58"/>
      <c r="AC237" s="58"/>
    </row>
    <row r="238">
      <c r="A238" s="58"/>
      <c r="B238" s="58"/>
      <c r="C238" s="58"/>
      <c r="D238" s="58"/>
      <c r="E238" s="58"/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  <c r="AA238" s="58"/>
      <c r="AB238" s="58"/>
      <c r="AC238" s="58"/>
    </row>
    <row r="239">
      <c r="A239" s="58"/>
      <c r="B239" s="58"/>
      <c r="C239" s="58"/>
      <c r="D239" s="58"/>
      <c r="E239" s="58"/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  <c r="AA239" s="58"/>
      <c r="AB239" s="58"/>
      <c r="AC239" s="58"/>
    </row>
    <row r="240">
      <c r="A240" s="58"/>
      <c r="B240" s="58"/>
      <c r="C240" s="58"/>
      <c r="D240" s="58"/>
      <c r="E240" s="58"/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  <c r="AA240" s="58"/>
      <c r="AB240" s="58"/>
      <c r="AC240" s="58"/>
    </row>
    <row r="241">
      <c r="A241" s="58"/>
      <c r="B241" s="58"/>
      <c r="C241" s="58"/>
      <c r="D241" s="58"/>
      <c r="E241" s="58"/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  <c r="AA241" s="58"/>
      <c r="AB241" s="58"/>
      <c r="AC241" s="58"/>
    </row>
    <row r="242">
      <c r="A242" s="58"/>
      <c r="B242" s="58"/>
      <c r="C242" s="58"/>
      <c r="D242" s="58"/>
      <c r="E242" s="58"/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  <c r="AA242" s="58"/>
      <c r="AB242" s="58"/>
      <c r="AC242" s="58"/>
    </row>
    <row r="243">
      <c r="A243" s="58"/>
      <c r="B243" s="58"/>
      <c r="C243" s="58"/>
      <c r="D243" s="58"/>
      <c r="E243" s="58"/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  <c r="AA243" s="58"/>
      <c r="AB243" s="58"/>
      <c r="AC243" s="58"/>
    </row>
    <row r="244">
      <c r="A244" s="58"/>
      <c r="B244" s="58"/>
      <c r="C244" s="58"/>
      <c r="D244" s="58"/>
      <c r="E244" s="58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  <c r="AA244" s="58"/>
      <c r="AB244" s="58"/>
      <c r="AC244" s="58"/>
    </row>
    <row r="245">
      <c r="A245" s="58"/>
      <c r="B245" s="58"/>
      <c r="C245" s="58"/>
      <c r="D245" s="58"/>
      <c r="E245" s="58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  <c r="AA245" s="58"/>
      <c r="AB245" s="58"/>
      <c r="AC245" s="58"/>
    </row>
    <row r="246">
      <c r="A246" s="58"/>
      <c r="B246" s="58"/>
      <c r="C246" s="58"/>
      <c r="D246" s="58"/>
      <c r="E246" s="58"/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  <c r="AA246" s="58"/>
      <c r="AB246" s="58"/>
      <c r="AC246" s="58"/>
    </row>
    <row r="247">
      <c r="A247" s="58"/>
      <c r="B247" s="58"/>
      <c r="C247" s="58"/>
      <c r="D247" s="58"/>
      <c r="E247" s="58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  <c r="AA247" s="58"/>
      <c r="AB247" s="58"/>
      <c r="AC247" s="58"/>
    </row>
    <row r="248">
      <c r="A248" s="58"/>
      <c r="B248" s="58"/>
      <c r="C248" s="58"/>
      <c r="D248" s="58"/>
      <c r="E248" s="58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  <c r="AA248" s="58"/>
      <c r="AB248" s="58"/>
      <c r="AC248" s="58"/>
    </row>
    <row r="249">
      <c r="A249" s="58"/>
      <c r="B249" s="58"/>
      <c r="C249" s="58"/>
      <c r="D249" s="58"/>
      <c r="E249" s="58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  <c r="AA249" s="58"/>
      <c r="AB249" s="58"/>
      <c r="AC249" s="58"/>
    </row>
    <row r="250">
      <c r="A250" s="58"/>
      <c r="B250" s="58"/>
      <c r="C250" s="58"/>
      <c r="D250" s="58"/>
      <c r="E250" s="58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  <c r="AA250" s="58"/>
      <c r="AB250" s="58"/>
      <c r="AC250" s="58"/>
    </row>
    <row r="251">
      <c r="A251" s="58"/>
      <c r="B251" s="58"/>
      <c r="C251" s="58"/>
      <c r="D251" s="58"/>
      <c r="E251" s="58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  <c r="AA251" s="58"/>
      <c r="AB251" s="58"/>
      <c r="AC251" s="58"/>
    </row>
    <row r="252">
      <c r="A252" s="58"/>
      <c r="B252" s="58"/>
      <c r="C252" s="58"/>
      <c r="D252" s="58"/>
      <c r="E252" s="58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  <c r="AA252" s="58"/>
      <c r="AB252" s="58"/>
      <c r="AC252" s="58"/>
    </row>
    <row r="253">
      <c r="A253" s="58"/>
      <c r="B253" s="58"/>
      <c r="C253" s="58"/>
      <c r="D253" s="58"/>
      <c r="E253" s="58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  <c r="AA253" s="58"/>
      <c r="AB253" s="58"/>
      <c r="AC253" s="58"/>
    </row>
    <row r="254">
      <c r="A254" s="58"/>
      <c r="B254" s="58"/>
      <c r="C254" s="58"/>
      <c r="D254" s="58"/>
      <c r="E254" s="58"/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  <c r="AA254" s="58"/>
      <c r="AB254" s="58"/>
      <c r="AC254" s="58"/>
    </row>
    <row r="255">
      <c r="A255" s="58"/>
      <c r="B255" s="58"/>
      <c r="C255" s="58"/>
      <c r="D255" s="58"/>
      <c r="E255" s="58"/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  <c r="AA255" s="58"/>
      <c r="AB255" s="58"/>
      <c r="AC255" s="58"/>
    </row>
    <row r="256">
      <c r="A256" s="58"/>
      <c r="B256" s="58"/>
      <c r="C256" s="58"/>
      <c r="D256" s="58"/>
      <c r="E256" s="58"/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  <c r="AA256" s="58"/>
      <c r="AB256" s="58"/>
      <c r="AC256" s="58"/>
    </row>
    <row r="257">
      <c r="A257" s="58"/>
      <c r="B257" s="58"/>
      <c r="C257" s="58"/>
      <c r="D257" s="58"/>
      <c r="E257" s="58"/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  <c r="AA257" s="58"/>
      <c r="AB257" s="58"/>
      <c r="AC257" s="58"/>
    </row>
    <row r="258">
      <c r="A258" s="58"/>
      <c r="B258" s="58"/>
      <c r="C258" s="58"/>
      <c r="D258" s="58"/>
      <c r="E258" s="58"/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  <c r="AA258" s="58"/>
      <c r="AB258" s="58"/>
      <c r="AC258" s="58"/>
    </row>
    <row r="259">
      <c r="A259" s="58"/>
      <c r="B259" s="58"/>
      <c r="C259" s="58"/>
      <c r="D259" s="58"/>
      <c r="E259" s="58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  <c r="AA259" s="58"/>
      <c r="AB259" s="58"/>
      <c r="AC259" s="58"/>
    </row>
    <row r="260">
      <c r="A260" s="58"/>
      <c r="B260" s="58"/>
      <c r="C260" s="58"/>
      <c r="D260" s="58"/>
      <c r="E260" s="58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  <c r="AA260" s="58"/>
      <c r="AB260" s="58"/>
      <c r="AC260" s="58"/>
    </row>
    <row r="261">
      <c r="A261" s="58"/>
      <c r="B261" s="58"/>
      <c r="C261" s="58"/>
      <c r="D261" s="58"/>
      <c r="E261" s="58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  <c r="AA261" s="58"/>
      <c r="AB261" s="58"/>
      <c r="AC261" s="58"/>
    </row>
    <row r="262">
      <c r="A262" s="58"/>
      <c r="B262" s="58"/>
      <c r="C262" s="58"/>
      <c r="D262" s="58"/>
      <c r="E262" s="58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  <c r="AA262" s="58"/>
      <c r="AB262" s="58"/>
      <c r="AC262" s="58"/>
    </row>
    <row r="263">
      <c r="A263" s="58"/>
      <c r="B263" s="58"/>
      <c r="C263" s="58"/>
      <c r="D263" s="58"/>
      <c r="E263" s="58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  <c r="AA263" s="58"/>
      <c r="AB263" s="58"/>
      <c r="AC263" s="58"/>
    </row>
    <row r="264">
      <c r="A264" s="58"/>
      <c r="B264" s="58"/>
      <c r="C264" s="58"/>
      <c r="D264" s="58"/>
      <c r="E264" s="58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  <c r="AA264" s="58"/>
      <c r="AB264" s="58"/>
      <c r="AC264" s="58"/>
    </row>
    <row r="265">
      <c r="A265" s="58"/>
      <c r="B265" s="58"/>
      <c r="C265" s="58"/>
      <c r="D265" s="58"/>
      <c r="E265" s="58"/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  <c r="AA265" s="58"/>
      <c r="AB265" s="58"/>
      <c r="AC265" s="58"/>
    </row>
    <row r="266">
      <c r="A266" s="58"/>
      <c r="B266" s="58"/>
      <c r="C266" s="58"/>
      <c r="D266" s="58"/>
      <c r="E266" s="58"/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  <c r="AA266" s="58"/>
      <c r="AB266" s="58"/>
      <c r="AC266" s="58"/>
    </row>
    <row r="267">
      <c r="A267" s="58"/>
      <c r="B267" s="58"/>
      <c r="C267" s="58"/>
      <c r="D267" s="58"/>
      <c r="E267" s="58"/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  <c r="AA267" s="58"/>
      <c r="AB267" s="58"/>
      <c r="AC267" s="58"/>
    </row>
    <row r="268">
      <c r="A268" s="58"/>
      <c r="B268" s="58"/>
      <c r="C268" s="58"/>
      <c r="D268" s="58"/>
      <c r="E268" s="58"/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  <c r="AA268" s="58"/>
      <c r="AB268" s="58"/>
      <c r="AC268" s="58"/>
    </row>
    <row r="269">
      <c r="A269" s="58"/>
      <c r="B269" s="58"/>
      <c r="C269" s="58"/>
      <c r="D269" s="58"/>
      <c r="E269" s="58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  <c r="AA269" s="58"/>
      <c r="AB269" s="58"/>
      <c r="AC269" s="58"/>
    </row>
    <row r="270">
      <c r="A270" s="58"/>
      <c r="B270" s="58"/>
      <c r="C270" s="58"/>
      <c r="D270" s="58"/>
      <c r="E270" s="58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  <c r="AA270" s="58"/>
      <c r="AB270" s="58"/>
      <c r="AC270" s="58"/>
    </row>
    <row r="271">
      <c r="A271" s="58"/>
      <c r="B271" s="58"/>
      <c r="C271" s="58"/>
      <c r="D271" s="58"/>
      <c r="E271" s="58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  <c r="AA271" s="58"/>
      <c r="AB271" s="58"/>
      <c r="AC271" s="58"/>
    </row>
    <row r="272">
      <c r="A272" s="58"/>
      <c r="B272" s="58"/>
      <c r="C272" s="58"/>
      <c r="D272" s="58"/>
      <c r="E272" s="58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  <c r="AA272" s="58"/>
      <c r="AB272" s="58"/>
      <c r="AC272" s="58"/>
    </row>
    <row r="273">
      <c r="A273" s="58"/>
      <c r="B273" s="58"/>
      <c r="C273" s="58"/>
      <c r="D273" s="58"/>
      <c r="E273" s="58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  <c r="AA273" s="58"/>
      <c r="AB273" s="58"/>
      <c r="AC273" s="58"/>
    </row>
    <row r="274">
      <c r="A274" s="58"/>
      <c r="B274" s="58"/>
      <c r="C274" s="58"/>
      <c r="D274" s="58"/>
      <c r="E274" s="58"/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  <c r="AA274" s="58"/>
      <c r="AB274" s="58"/>
      <c r="AC274" s="58"/>
    </row>
    <row r="275">
      <c r="A275" s="58"/>
      <c r="B275" s="58"/>
      <c r="C275" s="58"/>
      <c r="D275" s="58"/>
      <c r="E275" s="58"/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  <c r="AA275" s="58"/>
      <c r="AB275" s="58"/>
      <c r="AC275" s="58"/>
    </row>
    <row r="276">
      <c r="A276" s="58"/>
      <c r="B276" s="58"/>
      <c r="C276" s="58"/>
      <c r="D276" s="58"/>
      <c r="E276" s="58"/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  <c r="AA276" s="58"/>
      <c r="AB276" s="58"/>
      <c r="AC276" s="58"/>
    </row>
    <row r="277">
      <c r="A277" s="58"/>
      <c r="B277" s="58"/>
      <c r="C277" s="58"/>
      <c r="D277" s="58"/>
      <c r="E277" s="58"/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  <c r="AA277" s="58"/>
      <c r="AB277" s="58"/>
      <c r="AC277" s="58"/>
    </row>
    <row r="278">
      <c r="A278" s="58"/>
      <c r="B278" s="58"/>
      <c r="C278" s="58"/>
      <c r="D278" s="58"/>
      <c r="E278" s="58"/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  <c r="AA278" s="58"/>
      <c r="AB278" s="58"/>
      <c r="AC278" s="58"/>
    </row>
    <row r="279">
      <c r="A279" s="58"/>
      <c r="B279" s="58"/>
      <c r="C279" s="58"/>
      <c r="D279" s="58"/>
      <c r="E279" s="58"/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  <c r="AA279" s="58"/>
      <c r="AB279" s="58"/>
      <c r="AC279" s="58"/>
    </row>
    <row r="280">
      <c r="A280" s="58"/>
      <c r="B280" s="58"/>
      <c r="C280" s="58"/>
      <c r="D280" s="58"/>
      <c r="E280" s="58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  <c r="AA280" s="58"/>
      <c r="AB280" s="58"/>
      <c r="AC280" s="58"/>
    </row>
    <row r="281">
      <c r="A281" s="58"/>
      <c r="B281" s="58"/>
      <c r="C281" s="58"/>
      <c r="D281" s="58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  <c r="AA281" s="58"/>
      <c r="AB281" s="58"/>
      <c r="AC281" s="58"/>
    </row>
    <row r="282">
      <c r="A282" s="58"/>
      <c r="B282" s="58"/>
      <c r="C282" s="58"/>
      <c r="D282" s="58"/>
      <c r="E282" s="58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</row>
    <row r="283">
      <c r="A283" s="58"/>
      <c r="B283" s="58"/>
      <c r="C283" s="58"/>
      <c r="D283" s="58"/>
      <c r="E283" s="58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  <c r="AA283" s="58"/>
      <c r="AB283" s="58"/>
      <c r="AC283" s="58"/>
    </row>
    <row r="284">
      <c r="A284" s="58"/>
      <c r="B284" s="58"/>
      <c r="C284" s="58"/>
      <c r="D284" s="58"/>
      <c r="E284" s="58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  <c r="AA284" s="58"/>
      <c r="AB284" s="58"/>
      <c r="AC284" s="58"/>
    </row>
    <row r="285">
      <c r="A285" s="58"/>
      <c r="B285" s="58"/>
      <c r="C285" s="58"/>
      <c r="D285" s="58"/>
      <c r="E285" s="58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  <c r="AA285" s="58"/>
      <c r="AB285" s="58"/>
      <c r="AC285" s="58"/>
    </row>
    <row r="286">
      <c r="A286" s="58"/>
      <c r="B286" s="58"/>
      <c r="C286" s="58"/>
      <c r="D286" s="58"/>
      <c r="E286" s="58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  <c r="AA286" s="58"/>
      <c r="AB286" s="58"/>
      <c r="AC286" s="58"/>
    </row>
    <row r="287">
      <c r="A287" s="58"/>
      <c r="B287" s="58"/>
      <c r="C287" s="58"/>
      <c r="D287" s="58"/>
      <c r="E287" s="58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  <c r="AA287" s="58"/>
      <c r="AB287" s="58"/>
      <c r="AC287" s="58"/>
    </row>
    <row r="288">
      <c r="A288" s="58"/>
      <c r="B288" s="58"/>
      <c r="C288" s="58"/>
      <c r="D288" s="58"/>
      <c r="E288" s="58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  <c r="AA288" s="58"/>
      <c r="AB288" s="58"/>
      <c r="AC288" s="58"/>
    </row>
    <row r="289">
      <c r="A289" s="58"/>
      <c r="B289" s="58"/>
      <c r="C289" s="58"/>
      <c r="D289" s="58"/>
      <c r="E289" s="58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  <c r="AA289" s="58"/>
      <c r="AB289" s="58"/>
      <c r="AC289" s="58"/>
    </row>
    <row r="290">
      <c r="A290" s="58"/>
      <c r="B290" s="58"/>
      <c r="C290" s="58"/>
      <c r="D290" s="58"/>
      <c r="E290" s="58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  <c r="AA290" s="58"/>
      <c r="AB290" s="58"/>
      <c r="AC290" s="58"/>
    </row>
    <row r="291">
      <c r="A291" s="58"/>
      <c r="B291" s="58"/>
      <c r="C291" s="58"/>
      <c r="D291" s="58"/>
      <c r="E291" s="58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  <c r="AA291" s="58"/>
      <c r="AB291" s="58"/>
      <c r="AC291" s="58"/>
    </row>
    <row r="292">
      <c r="A292" s="58"/>
      <c r="B292" s="58"/>
      <c r="C292" s="58"/>
      <c r="D292" s="58"/>
      <c r="E292" s="58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  <c r="AA292" s="58"/>
      <c r="AB292" s="58"/>
      <c r="AC292" s="58"/>
    </row>
    <row r="293">
      <c r="A293" s="58"/>
      <c r="B293" s="58"/>
      <c r="C293" s="58"/>
      <c r="D293" s="58"/>
      <c r="E293" s="58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  <c r="AA293" s="58"/>
      <c r="AB293" s="58"/>
      <c r="AC293" s="58"/>
    </row>
    <row r="294">
      <c r="A294" s="58"/>
      <c r="B294" s="58"/>
      <c r="C294" s="58"/>
      <c r="D294" s="58"/>
      <c r="E294" s="58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  <c r="AA294" s="58"/>
      <c r="AB294" s="58"/>
      <c r="AC294" s="58"/>
    </row>
    <row r="295">
      <c r="A295" s="58"/>
      <c r="B295" s="58"/>
      <c r="C295" s="58"/>
      <c r="D295" s="58"/>
      <c r="E295" s="58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  <c r="AA295" s="58"/>
      <c r="AB295" s="58"/>
      <c r="AC295" s="58"/>
    </row>
    <row r="296">
      <c r="A296" s="58"/>
      <c r="B296" s="58"/>
      <c r="C296" s="58"/>
      <c r="D296" s="58"/>
      <c r="E296" s="58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  <c r="AA296" s="58"/>
      <c r="AB296" s="58"/>
      <c r="AC296" s="58"/>
    </row>
    <row r="297">
      <c r="A297" s="58"/>
      <c r="B297" s="58"/>
      <c r="C297" s="58"/>
      <c r="D297" s="58"/>
      <c r="E297" s="58"/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  <c r="AA297" s="58"/>
      <c r="AB297" s="58"/>
      <c r="AC297" s="58"/>
    </row>
    <row r="298">
      <c r="A298" s="58"/>
      <c r="B298" s="58"/>
      <c r="C298" s="58"/>
      <c r="D298" s="58"/>
      <c r="E298" s="58"/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  <c r="AA298" s="58"/>
      <c r="AB298" s="58"/>
      <c r="AC298" s="58"/>
    </row>
    <row r="299">
      <c r="A299" s="58"/>
      <c r="B299" s="58"/>
      <c r="C299" s="58"/>
      <c r="D299" s="58"/>
      <c r="E299" s="58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  <c r="AA299" s="58"/>
      <c r="AB299" s="58"/>
      <c r="AC299" s="58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  <c r="AA300" s="58"/>
      <c r="AB300" s="58"/>
      <c r="AC300" s="58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  <c r="AA301" s="58"/>
      <c r="AB301" s="58"/>
      <c r="AC301" s="58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  <c r="AA302" s="58"/>
      <c r="AB302" s="58"/>
      <c r="AC302" s="58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  <c r="AA303" s="58"/>
      <c r="AB303" s="58"/>
      <c r="AC303" s="58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  <c r="AA304" s="58"/>
      <c r="AB304" s="58"/>
      <c r="AC304" s="58"/>
    </row>
    <row r="305">
      <c r="A305" s="58"/>
      <c r="B305" s="58"/>
      <c r="C305" s="58"/>
      <c r="D305" s="58"/>
      <c r="E305" s="58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  <c r="AA305" s="58"/>
      <c r="AB305" s="58"/>
      <c r="AC305" s="58"/>
    </row>
    <row r="306">
      <c r="A306" s="58"/>
      <c r="B306" s="58"/>
      <c r="C306" s="58"/>
      <c r="D306" s="58"/>
      <c r="E306" s="58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  <c r="AA306" s="58"/>
      <c r="AB306" s="58"/>
      <c r="AC306" s="58"/>
    </row>
    <row r="307">
      <c r="A307" s="58"/>
      <c r="B307" s="58"/>
      <c r="C307" s="58"/>
      <c r="D307" s="58"/>
      <c r="E307" s="58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  <c r="AA307" s="58"/>
      <c r="AB307" s="58"/>
      <c r="AC307" s="58"/>
    </row>
    <row r="308">
      <c r="A308" s="58"/>
      <c r="B308" s="58"/>
      <c r="C308" s="58"/>
      <c r="D308" s="58"/>
      <c r="E308" s="58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  <c r="AA308" s="58"/>
      <c r="AB308" s="58"/>
      <c r="AC308" s="58"/>
    </row>
    <row r="309">
      <c r="A309" s="58"/>
      <c r="B309" s="58"/>
      <c r="C309" s="58"/>
      <c r="D309" s="58"/>
      <c r="E309" s="58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  <c r="AA309" s="58"/>
      <c r="AB309" s="58"/>
      <c r="AC309" s="58"/>
    </row>
    <row r="310">
      <c r="A310" s="58"/>
      <c r="B310" s="58"/>
      <c r="C310" s="58"/>
      <c r="D310" s="58"/>
      <c r="E310" s="58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  <c r="AA310" s="58"/>
      <c r="AB310" s="58"/>
      <c r="AC310" s="58"/>
    </row>
    <row r="311">
      <c r="A311" s="58"/>
      <c r="B311" s="58"/>
      <c r="C311" s="58"/>
      <c r="D311" s="58"/>
      <c r="E311" s="58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  <c r="AA311" s="58"/>
      <c r="AB311" s="58"/>
      <c r="AC311" s="58"/>
    </row>
    <row r="312">
      <c r="A312" s="58"/>
      <c r="B312" s="58"/>
      <c r="C312" s="58"/>
      <c r="D312" s="58"/>
      <c r="E312" s="58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  <c r="AA312" s="58"/>
      <c r="AB312" s="58"/>
      <c r="AC312" s="58"/>
    </row>
    <row r="313">
      <c r="A313" s="58"/>
      <c r="B313" s="58"/>
      <c r="C313" s="58"/>
      <c r="D313" s="58"/>
      <c r="E313" s="58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  <c r="AA313" s="58"/>
      <c r="AB313" s="58"/>
      <c r="AC313" s="58"/>
    </row>
    <row r="314">
      <c r="A314" s="58"/>
      <c r="B314" s="58"/>
      <c r="C314" s="58"/>
      <c r="D314" s="58"/>
      <c r="E314" s="58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  <c r="AA314" s="58"/>
      <c r="AB314" s="58"/>
      <c r="AC314" s="58"/>
    </row>
    <row r="315">
      <c r="A315" s="58"/>
      <c r="B315" s="58"/>
      <c r="C315" s="58"/>
      <c r="D315" s="58"/>
      <c r="E315" s="58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  <c r="AA315" s="58"/>
      <c r="AB315" s="58"/>
      <c r="AC315" s="58"/>
    </row>
    <row r="316">
      <c r="A316" s="58"/>
      <c r="B316" s="58"/>
      <c r="C316" s="58"/>
      <c r="D316" s="58"/>
      <c r="E316" s="58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  <c r="AA316" s="58"/>
      <c r="AB316" s="58"/>
      <c r="AC316" s="58"/>
    </row>
    <row r="317">
      <c r="A317" s="58"/>
      <c r="B317" s="58"/>
      <c r="C317" s="58"/>
      <c r="D317" s="58"/>
      <c r="E317" s="58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  <c r="AA317" s="58"/>
      <c r="AB317" s="58"/>
      <c r="AC317" s="58"/>
    </row>
    <row r="318">
      <c r="A318" s="58"/>
      <c r="B318" s="58"/>
      <c r="C318" s="58"/>
      <c r="D318" s="58"/>
      <c r="E318" s="58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  <c r="AA318" s="58"/>
      <c r="AB318" s="58"/>
      <c r="AC318" s="58"/>
    </row>
    <row r="319">
      <c r="A319" s="58"/>
      <c r="B319" s="58"/>
      <c r="C319" s="58"/>
      <c r="D319" s="58"/>
      <c r="E319" s="58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  <c r="AA319" s="58"/>
      <c r="AB319" s="58"/>
      <c r="AC319" s="58"/>
    </row>
    <row r="320">
      <c r="A320" s="58"/>
      <c r="B320" s="58"/>
      <c r="C320" s="58"/>
      <c r="D320" s="58"/>
      <c r="E320" s="58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  <c r="AA320" s="58"/>
      <c r="AB320" s="58"/>
      <c r="AC320" s="58"/>
    </row>
    <row r="321">
      <c r="A321" s="58"/>
      <c r="B321" s="58"/>
      <c r="C321" s="58"/>
      <c r="D321" s="58"/>
      <c r="E321" s="58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  <c r="AA321" s="58"/>
      <c r="AB321" s="58"/>
      <c r="AC321" s="58"/>
    </row>
    <row r="322">
      <c r="A322" s="58"/>
      <c r="B322" s="58"/>
      <c r="C322" s="58"/>
      <c r="D322" s="58"/>
      <c r="E322" s="58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  <c r="AA322" s="58"/>
      <c r="AB322" s="58"/>
      <c r="AC322" s="58"/>
    </row>
    <row r="323">
      <c r="A323" s="58"/>
      <c r="B323" s="58"/>
      <c r="C323" s="58"/>
      <c r="D323" s="58"/>
      <c r="E323" s="58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  <c r="AA323" s="58"/>
      <c r="AB323" s="58"/>
      <c r="AC323" s="58"/>
    </row>
    <row r="324">
      <c r="A324" s="58"/>
      <c r="B324" s="58"/>
      <c r="C324" s="58"/>
      <c r="D324" s="58"/>
      <c r="E324" s="58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  <c r="AA324" s="58"/>
      <c r="AB324" s="58"/>
      <c r="AC324" s="58"/>
    </row>
    <row r="325">
      <c r="A325" s="58"/>
      <c r="B325" s="58"/>
      <c r="C325" s="58"/>
      <c r="D325" s="58"/>
      <c r="E325" s="58"/>
      <c r="F325" s="58"/>
      <c r="G325" s="58"/>
      <c r="H325" s="58"/>
      <c r="I325" s="58"/>
      <c r="J325" s="58"/>
      <c r="K325" s="58"/>
      <c r="L325" s="58"/>
      <c r="M325" s="58"/>
      <c r="N325" s="58"/>
      <c r="O325" s="58"/>
      <c r="P325" s="58"/>
      <c r="Q325" s="58"/>
      <c r="R325" s="58"/>
      <c r="S325" s="58"/>
      <c r="T325" s="58"/>
      <c r="U325" s="58"/>
      <c r="V325" s="58"/>
      <c r="W325" s="58"/>
      <c r="X325" s="58"/>
      <c r="Y325" s="58"/>
      <c r="Z325" s="58"/>
      <c r="AA325" s="58"/>
      <c r="AB325" s="58"/>
      <c r="AC325" s="58"/>
    </row>
    <row r="326">
      <c r="A326" s="58"/>
      <c r="B326" s="58"/>
      <c r="C326" s="58"/>
      <c r="D326" s="58"/>
      <c r="E326" s="58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  <c r="AA326" s="58"/>
      <c r="AB326" s="58"/>
      <c r="AC326" s="58"/>
    </row>
    <row r="327">
      <c r="A327" s="58"/>
      <c r="B327" s="58"/>
      <c r="C327" s="58"/>
      <c r="D327" s="58"/>
      <c r="E327" s="58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  <c r="AA327" s="58"/>
      <c r="AB327" s="58"/>
      <c r="AC327" s="58"/>
    </row>
    <row r="328">
      <c r="A328" s="58"/>
      <c r="B328" s="58"/>
      <c r="C328" s="58"/>
      <c r="D328" s="58"/>
      <c r="E328" s="58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  <c r="AA328" s="58"/>
      <c r="AB328" s="58"/>
      <c r="AC328" s="58"/>
    </row>
    <row r="329">
      <c r="A329" s="58"/>
      <c r="B329" s="58"/>
      <c r="C329" s="58"/>
      <c r="D329" s="58"/>
      <c r="E329" s="58"/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  <c r="AA329" s="58"/>
      <c r="AB329" s="58"/>
      <c r="AC329" s="58"/>
    </row>
    <row r="330">
      <c r="A330" s="58"/>
      <c r="B330" s="58"/>
      <c r="C330" s="58"/>
      <c r="D330" s="58"/>
      <c r="E330" s="58"/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  <c r="AA330" s="58"/>
      <c r="AB330" s="58"/>
      <c r="AC330" s="58"/>
    </row>
    <row r="331">
      <c r="A331" s="58"/>
      <c r="B331" s="58"/>
      <c r="C331" s="58"/>
      <c r="D331" s="58"/>
      <c r="E331" s="58"/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  <c r="AA331" s="58"/>
      <c r="AB331" s="58"/>
      <c r="AC331" s="58"/>
    </row>
    <row r="332">
      <c r="A332" s="58"/>
      <c r="B332" s="58"/>
      <c r="C332" s="58"/>
      <c r="D332" s="58"/>
      <c r="E332" s="58"/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  <c r="AA332" s="58"/>
      <c r="AB332" s="58"/>
      <c r="AC332" s="58"/>
    </row>
    <row r="333">
      <c r="A333" s="58"/>
      <c r="B333" s="58"/>
      <c r="C333" s="58"/>
      <c r="D333" s="58"/>
      <c r="E333" s="58"/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  <c r="AA333" s="58"/>
      <c r="AB333" s="58"/>
      <c r="AC333" s="58"/>
    </row>
    <row r="334">
      <c r="A334" s="58"/>
      <c r="B334" s="58"/>
      <c r="C334" s="58"/>
      <c r="D334" s="58"/>
      <c r="E334" s="58"/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  <c r="AA334" s="58"/>
      <c r="AB334" s="58"/>
      <c r="AC334" s="58"/>
    </row>
    <row r="335">
      <c r="A335" s="58"/>
      <c r="B335" s="58"/>
      <c r="C335" s="58"/>
      <c r="D335" s="58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  <c r="AA335" s="58"/>
      <c r="AB335" s="58"/>
      <c r="AC335" s="58"/>
    </row>
    <row r="336">
      <c r="A336" s="58"/>
      <c r="B336" s="58"/>
      <c r="C336" s="58"/>
      <c r="D336" s="58"/>
      <c r="E336" s="58"/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  <c r="AA336" s="58"/>
      <c r="AB336" s="58"/>
      <c r="AC336" s="58"/>
    </row>
    <row r="337">
      <c r="A337" s="58"/>
      <c r="B337" s="58"/>
      <c r="C337" s="58"/>
      <c r="D337" s="58"/>
      <c r="E337" s="58"/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  <c r="AA337" s="58"/>
      <c r="AB337" s="58"/>
      <c r="AC337" s="58"/>
    </row>
    <row r="338">
      <c r="A338" s="58"/>
      <c r="B338" s="58"/>
      <c r="C338" s="58"/>
      <c r="D338" s="58"/>
      <c r="E338" s="58"/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  <c r="AA338" s="58"/>
      <c r="AB338" s="58"/>
      <c r="AC338" s="58"/>
    </row>
    <row r="339">
      <c r="A339" s="58"/>
      <c r="B339" s="58"/>
      <c r="C339" s="58"/>
      <c r="D339" s="58"/>
      <c r="E339" s="58"/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  <c r="AA339" s="58"/>
      <c r="AB339" s="58"/>
      <c r="AC339" s="58"/>
    </row>
    <row r="340">
      <c r="A340" s="58"/>
      <c r="B340" s="58"/>
      <c r="C340" s="58"/>
      <c r="D340" s="58"/>
      <c r="E340" s="58"/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  <c r="AA340" s="58"/>
      <c r="AB340" s="58"/>
      <c r="AC340" s="58"/>
    </row>
    <row r="341">
      <c r="A341" s="58"/>
      <c r="B341" s="58"/>
      <c r="C341" s="58"/>
      <c r="D341" s="58"/>
      <c r="E341" s="58"/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  <c r="AA341" s="58"/>
      <c r="AB341" s="58"/>
      <c r="AC341" s="58"/>
    </row>
    <row r="342">
      <c r="A342" s="58"/>
      <c r="B342" s="58"/>
      <c r="C342" s="58"/>
      <c r="D342" s="58"/>
      <c r="E342" s="58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  <c r="AA342" s="58"/>
      <c r="AB342" s="58"/>
      <c r="AC342" s="58"/>
    </row>
    <row r="343">
      <c r="A343" s="58"/>
      <c r="B343" s="58"/>
      <c r="C343" s="58"/>
      <c r="D343" s="58"/>
      <c r="E343" s="58"/>
      <c r="F343" s="58"/>
      <c r="G343" s="58"/>
      <c r="H343" s="58"/>
      <c r="I343" s="58"/>
      <c r="J343" s="58"/>
      <c r="K343" s="58"/>
      <c r="L343" s="58"/>
      <c r="M343" s="58"/>
      <c r="N343" s="58"/>
      <c r="O343" s="58"/>
      <c r="P343" s="58"/>
      <c r="Q343" s="58"/>
      <c r="R343" s="58"/>
      <c r="S343" s="58"/>
      <c r="T343" s="58"/>
      <c r="U343" s="58"/>
      <c r="V343" s="58"/>
      <c r="W343" s="58"/>
      <c r="X343" s="58"/>
      <c r="Y343" s="58"/>
      <c r="Z343" s="58"/>
      <c r="AA343" s="58"/>
      <c r="AB343" s="58"/>
      <c r="AC343" s="58"/>
    </row>
    <row r="344">
      <c r="A344" s="58"/>
      <c r="B344" s="58"/>
      <c r="C344" s="58"/>
      <c r="D344" s="58"/>
      <c r="E344" s="58"/>
      <c r="F344" s="58"/>
      <c r="G344" s="58"/>
      <c r="H344" s="58"/>
      <c r="I344" s="58"/>
      <c r="J344" s="58"/>
      <c r="K344" s="58"/>
      <c r="L344" s="58"/>
      <c r="M344" s="58"/>
      <c r="N344" s="58"/>
      <c r="O344" s="58"/>
      <c r="P344" s="58"/>
      <c r="Q344" s="58"/>
      <c r="R344" s="58"/>
      <c r="S344" s="58"/>
      <c r="T344" s="58"/>
      <c r="U344" s="58"/>
      <c r="V344" s="58"/>
      <c r="W344" s="58"/>
      <c r="X344" s="58"/>
      <c r="Y344" s="58"/>
      <c r="Z344" s="58"/>
      <c r="AA344" s="58"/>
      <c r="AB344" s="58"/>
      <c r="AC344" s="58"/>
    </row>
    <row r="345">
      <c r="A345" s="58"/>
      <c r="B345" s="58"/>
      <c r="C345" s="58"/>
      <c r="D345" s="58"/>
      <c r="E345" s="58"/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  <c r="AA345" s="58"/>
      <c r="AB345" s="58"/>
      <c r="AC345" s="58"/>
    </row>
    <row r="346">
      <c r="A346" s="58"/>
      <c r="B346" s="58"/>
      <c r="C346" s="58"/>
      <c r="D346" s="58"/>
      <c r="E346" s="58"/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  <c r="AA346" s="58"/>
      <c r="AB346" s="58"/>
      <c r="AC346" s="58"/>
    </row>
    <row r="347">
      <c r="A347" s="58"/>
      <c r="B347" s="58"/>
      <c r="C347" s="58"/>
      <c r="D347" s="58"/>
      <c r="E347" s="58"/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  <c r="AA347" s="58"/>
      <c r="AB347" s="58"/>
      <c r="AC347" s="58"/>
    </row>
    <row r="348">
      <c r="A348" s="58"/>
      <c r="B348" s="58"/>
      <c r="C348" s="58"/>
      <c r="D348" s="58"/>
      <c r="E348" s="58"/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  <c r="AA348" s="58"/>
      <c r="AB348" s="58"/>
      <c r="AC348" s="58"/>
    </row>
    <row r="349">
      <c r="A349" s="58"/>
      <c r="B349" s="58"/>
      <c r="C349" s="58"/>
      <c r="D349" s="58"/>
      <c r="E349" s="58"/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  <c r="AA349" s="58"/>
      <c r="AB349" s="58"/>
      <c r="AC349" s="58"/>
    </row>
    <row r="350">
      <c r="A350" s="58"/>
      <c r="B350" s="58"/>
      <c r="C350" s="58"/>
      <c r="D350" s="58"/>
      <c r="E350" s="58"/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  <c r="AA350" s="58"/>
      <c r="AB350" s="58"/>
      <c r="AC350" s="58"/>
    </row>
    <row r="351">
      <c r="A351" s="58"/>
      <c r="B351" s="58"/>
      <c r="C351" s="58"/>
      <c r="D351" s="58"/>
      <c r="E351" s="58"/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  <c r="AA351" s="58"/>
      <c r="AB351" s="58"/>
      <c r="AC351" s="58"/>
    </row>
    <row r="352">
      <c r="A352" s="58"/>
      <c r="B352" s="58"/>
      <c r="C352" s="58"/>
      <c r="D352" s="58"/>
      <c r="E352" s="58"/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  <c r="AA352" s="58"/>
      <c r="AB352" s="58"/>
      <c r="AC352" s="58"/>
    </row>
    <row r="353">
      <c r="A353" s="58"/>
      <c r="B353" s="58"/>
      <c r="C353" s="58"/>
      <c r="D353" s="58"/>
      <c r="E353" s="58"/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  <c r="AA353" s="58"/>
      <c r="AB353" s="58"/>
      <c r="AC353" s="58"/>
    </row>
    <row r="354">
      <c r="A354" s="58"/>
      <c r="B354" s="58"/>
      <c r="C354" s="58"/>
      <c r="D354" s="58"/>
      <c r="E354" s="58"/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  <c r="AA354" s="58"/>
      <c r="AB354" s="58"/>
      <c r="AC354" s="58"/>
    </row>
    <row r="355">
      <c r="A355" s="58"/>
      <c r="B355" s="58"/>
      <c r="C355" s="58"/>
      <c r="D355" s="58"/>
      <c r="E355" s="58"/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  <c r="AA355" s="58"/>
      <c r="AB355" s="58"/>
      <c r="AC355" s="58"/>
    </row>
    <row r="356">
      <c r="A356" s="58"/>
      <c r="B356" s="58"/>
      <c r="C356" s="58"/>
      <c r="D356" s="58"/>
      <c r="E356" s="58"/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  <c r="AA356" s="58"/>
      <c r="AB356" s="58"/>
      <c r="AC356" s="58"/>
    </row>
    <row r="357">
      <c r="A357" s="58"/>
      <c r="B357" s="58"/>
      <c r="C357" s="58"/>
      <c r="D357" s="58"/>
      <c r="E357" s="58"/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  <c r="AA357" s="58"/>
      <c r="AB357" s="58"/>
      <c r="AC357" s="58"/>
    </row>
    <row r="358">
      <c r="A358" s="58"/>
      <c r="B358" s="58"/>
      <c r="C358" s="58"/>
      <c r="D358" s="58"/>
      <c r="E358" s="58"/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  <c r="AA358" s="58"/>
      <c r="AB358" s="58"/>
      <c r="AC358" s="58"/>
    </row>
    <row r="359">
      <c r="A359" s="58"/>
      <c r="B359" s="58"/>
      <c r="C359" s="58"/>
      <c r="D359" s="58"/>
      <c r="E359" s="58"/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  <c r="AA359" s="58"/>
      <c r="AB359" s="58"/>
      <c r="AC359" s="58"/>
    </row>
    <row r="360">
      <c r="A360" s="58"/>
      <c r="B360" s="58"/>
      <c r="C360" s="58"/>
      <c r="D360" s="58"/>
      <c r="E360" s="58"/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  <c r="AA360" s="58"/>
      <c r="AB360" s="58"/>
      <c r="AC360" s="58"/>
    </row>
    <row r="361">
      <c r="A361" s="58"/>
      <c r="B361" s="58"/>
      <c r="C361" s="58"/>
      <c r="D361" s="58"/>
      <c r="E361" s="58"/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  <c r="AA361" s="58"/>
      <c r="AB361" s="58"/>
      <c r="AC361" s="58"/>
    </row>
    <row r="362">
      <c r="A362" s="58"/>
      <c r="B362" s="58"/>
      <c r="C362" s="58"/>
      <c r="D362" s="58"/>
      <c r="E362" s="58"/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  <c r="AA362" s="58"/>
      <c r="AB362" s="58"/>
      <c r="AC362" s="58"/>
    </row>
    <row r="363">
      <c r="A363" s="58"/>
      <c r="B363" s="58"/>
      <c r="C363" s="58"/>
      <c r="D363" s="58"/>
      <c r="E363" s="58"/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  <c r="AA363" s="58"/>
      <c r="AB363" s="58"/>
      <c r="AC363" s="58"/>
    </row>
    <row r="364">
      <c r="A364" s="58"/>
      <c r="B364" s="58"/>
      <c r="C364" s="58"/>
      <c r="D364" s="58"/>
      <c r="E364" s="58"/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  <c r="AA364" s="58"/>
      <c r="AB364" s="58"/>
      <c r="AC364" s="58"/>
    </row>
    <row r="365">
      <c r="A365" s="58"/>
      <c r="B365" s="58"/>
      <c r="C365" s="58"/>
      <c r="D365" s="58"/>
      <c r="E365" s="58"/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  <c r="AA365" s="58"/>
      <c r="AB365" s="58"/>
      <c r="AC365" s="58"/>
    </row>
    <row r="366">
      <c r="A366" s="58"/>
      <c r="B366" s="58"/>
      <c r="C366" s="58"/>
      <c r="D366" s="58"/>
      <c r="E366" s="58"/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  <c r="AA366" s="58"/>
      <c r="AB366" s="58"/>
      <c r="AC366" s="58"/>
    </row>
    <row r="367">
      <c r="A367" s="58"/>
      <c r="B367" s="58"/>
      <c r="C367" s="58"/>
      <c r="D367" s="58"/>
      <c r="E367" s="58"/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  <c r="AA367" s="58"/>
      <c r="AB367" s="58"/>
      <c r="AC367" s="58"/>
    </row>
    <row r="368">
      <c r="A368" s="58"/>
      <c r="B368" s="58"/>
      <c r="C368" s="58"/>
      <c r="D368" s="58"/>
      <c r="E368" s="58"/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  <c r="AA368" s="58"/>
      <c r="AB368" s="58"/>
      <c r="AC368" s="58"/>
    </row>
    <row r="369">
      <c r="A369" s="58"/>
      <c r="B369" s="58"/>
      <c r="C369" s="58"/>
      <c r="D369" s="58"/>
      <c r="E369" s="58"/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  <c r="AA369" s="58"/>
      <c r="AB369" s="58"/>
      <c r="AC369" s="58"/>
    </row>
    <row r="370">
      <c r="A370" s="58"/>
      <c r="B370" s="58"/>
      <c r="C370" s="58"/>
      <c r="D370" s="58"/>
      <c r="E370" s="58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  <c r="AA370" s="58"/>
      <c r="AB370" s="58"/>
      <c r="AC370" s="58"/>
    </row>
    <row r="371">
      <c r="A371" s="58"/>
      <c r="B371" s="58"/>
      <c r="C371" s="58"/>
      <c r="D371" s="58"/>
      <c r="E371" s="58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  <c r="AA371" s="58"/>
      <c r="AB371" s="58"/>
      <c r="AC371" s="58"/>
    </row>
    <row r="372">
      <c r="A372" s="58"/>
      <c r="B372" s="58"/>
      <c r="C372" s="58"/>
      <c r="D372" s="58"/>
      <c r="E372" s="58"/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  <c r="AA372" s="58"/>
      <c r="AB372" s="58"/>
      <c r="AC372" s="58"/>
    </row>
    <row r="373">
      <c r="A373" s="58"/>
      <c r="B373" s="58"/>
      <c r="C373" s="58"/>
      <c r="D373" s="58"/>
      <c r="E373" s="58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  <c r="AA373" s="58"/>
      <c r="AB373" s="58"/>
      <c r="AC373" s="58"/>
    </row>
    <row r="374">
      <c r="A374" s="58"/>
      <c r="B374" s="58"/>
      <c r="C374" s="58"/>
      <c r="D374" s="58"/>
      <c r="E374" s="58"/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  <c r="AA374" s="58"/>
      <c r="AB374" s="58"/>
      <c r="AC374" s="58"/>
    </row>
    <row r="375">
      <c r="A375" s="58"/>
      <c r="B375" s="58"/>
      <c r="C375" s="58"/>
      <c r="D375" s="58"/>
      <c r="E375" s="58"/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  <c r="AA375" s="58"/>
      <c r="AB375" s="58"/>
      <c r="AC375" s="58"/>
    </row>
    <row r="376">
      <c r="A376" s="58"/>
      <c r="B376" s="58"/>
      <c r="C376" s="58"/>
      <c r="D376" s="58"/>
      <c r="E376" s="58"/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  <c r="AA376" s="58"/>
      <c r="AB376" s="58"/>
      <c r="AC376" s="58"/>
    </row>
    <row r="377">
      <c r="A377" s="58"/>
      <c r="B377" s="58"/>
      <c r="C377" s="58"/>
      <c r="D377" s="58"/>
      <c r="E377" s="58"/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  <c r="AA377" s="58"/>
      <c r="AB377" s="58"/>
      <c r="AC377" s="58"/>
    </row>
    <row r="378">
      <c r="A378" s="58"/>
      <c r="B378" s="58"/>
      <c r="C378" s="58"/>
      <c r="D378" s="58"/>
      <c r="E378" s="58"/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  <c r="AA378" s="58"/>
      <c r="AB378" s="58"/>
      <c r="AC378" s="58"/>
    </row>
    <row r="379">
      <c r="A379" s="58"/>
      <c r="B379" s="58"/>
      <c r="C379" s="58"/>
      <c r="D379" s="58"/>
      <c r="E379" s="58"/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  <c r="AA379" s="58"/>
      <c r="AB379" s="58"/>
      <c r="AC379" s="58"/>
    </row>
    <row r="380">
      <c r="A380" s="58"/>
      <c r="B380" s="58"/>
      <c r="C380" s="58"/>
      <c r="D380" s="58"/>
      <c r="E380" s="58"/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  <c r="AA380" s="58"/>
      <c r="AB380" s="58"/>
      <c r="AC380" s="58"/>
    </row>
    <row r="381">
      <c r="A381" s="58"/>
      <c r="B381" s="58"/>
      <c r="C381" s="58"/>
      <c r="D381" s="58"/>
      <c r="E381" s="58"/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  <c r="AA381" s="58"/>
      <c r="AB381" s="58"/>
      <c r="AC381" s="58"/>
    </row>
    <row r="382">
      <c r="A382" s="58"/>
      <c r="B382" s="58"/>
      <c r="C382" s="58"/>
      <c r="D382" s="58"/>
      <c r="E382" s="58"/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  <c r="AA382" s="58"/>
      <c r="AB382" s="58"/>
      <c r="AC382" s="58"/>
    </row>
    <row r="383">
      <c r="A383" s="58"/>
      <c r="B383" s="58"/>
      <c r="C383" s="58"/>
      <c r="D383" s="58"/>
      <c r="E383" s="58"/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  <c r="AA383" s="58"/>
      <c r="AB383" s="58"/>
      <c r="AC383" s="58"/>
    </row>
    <row r="384">
      <c r="A384" s="58"/>
      <c r="B384" s="58"/>
      <c r="C384" s="58"/>
      <c r="D384" s="58"/>
      <c r="E384" s="58"/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  <c r="AA384" s="58"/>
      <c r="AB384" s="58"/>
      <c r="AC384" s="58"/>
    </row>
    <row r="385">
      <c r="A385" s="58"/>
      <c r="B385" s="58"/>
      <c r="C385" s="58"/>
      <c r="D385" s="58"/>
      <c r="E385" s="58"/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  <c r="AA385" s="58"/>
      <c r="AB385" s="58"/>
      <c r="AC385" s="58"/>
    </row>
    <row r="386">
      <c r="A386" s="58"/>
      <c r="B386" s="58"/>
      <c r="C386" s="58"/>
      <c r="D386" s="58"/>
      <c r="E386" s="58"/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  <c r="AA386" s="58"/>
      <c r="AB386" s="58"/>
      <c r="AC386" s="58"/>
    </row>
    <row r="387">
      <c r="A387" s="58"/>
      <c r="B387" s="58"/>
      <c r="C387" s="58"/>
      <c r="D387" s="58"/>
      <c r="E387" s="58"/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  <c r="AA387" s="58"/>
      <c r="AB387" s="58"/>
      <c r="AC387" s="58"/>
    </row>
    <row r="388">
      <c r="A388" s="58"/>
      <c r="B388" s="58"/>
      <c r="C388" s="58"/>
      <c r="D388" s="58"/>
      <c r="E388" s="58"/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  <c r="AA388" s="58"/>
      <c r="AB388" s="58"/>
      <c r="AC388" s="58"/>
    </row>
    <row r="389">
      <c r="A389" s="58"/>
      <c r="B389" s="58"/>
      <c r="C389" s="58"/>
      <c r="D389" s="58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  <c r="AA389" s="58"/>
      <c r="AB389" s="58"/>
      <c r="AC389" s="58"/>
    </row>
    <row r="390">
      <c r="A390" s="58"/>
      <c r="B390" s="58"/>
      <c r="C390" s="58"/>
      <c r="D390" s="58"/>
      <c r="E390" s="58"/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  <c r="AA390" s="58"/>
      <c r="AB390" s="58"/>
      <c r="AC390" s="58"/>
    </row>
    <row r="391">
      <c r="A391" s="58"/>
      <c r="B391" s="58"/>
      <c r="C391" s="58"/>
      <c r="D391" s="58"/>
      <c r="E391" s="58"/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  <c r="AA391" s="58"/>
      <c r="AB391" s="58"/>
      <c r="AC391" s="58"/>
    </row>
    <row r="392">
      <c r="A392" s="58"/>
      <c r="B392" s="58"/>
      <c r="C392" s="58"/>
      <c r="D392" s="58"/>
      <c r="E392" s="58"/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  <c r="AA392" s="58"/>
      <c r="AB392" s="58"/>
      <c r="AC392" s="58"/>
    </row>
    <row r="393">
      <c r="A393" s="58"/>
      <c r="B393" s="58"/>
      <c r="C393" s="58"/>
      <c r="D393" s="58"/>
      <c r="E393" s="58"/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  <c r="AA393" s="58"/>
      <c r="AB393" s="58"/>
      <c r="AC393" s="58"/>
    </row>
    <row r="394">
      <c r="A394" s="58"/>
      <c r="B394" s="58"/>
      <c r="C394" s="58"/>
      <c r="D394" s="58"/>
      <c r="E394" s="58"/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  <c r="AA394" s="58"/>
      <c r="AB394" s="58"/>
      <c r="AC394" s="58"/>
    </row>
    <row r="395">
      <c r="A395" s="58"/>
      <c r="B395" s="58"/>
      <c r="C395" s="58"/>
      <c r="D395" s="58"/>
      <c r="E395" s="58"/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  <c r="AA395" s="58"/>
      <c r="AB395" s="58"/>
      <c r="AC395" s="58"/>
    </row>
    <row r="396">
      <c r="A396" s="58"/>
      <c r="B396" s="58"/>
      <c r="C396" s="58"/>
      <c r="D396" s="58"/>
      <c r="E396" s="58"/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  <c r="AA396" s="58"/>
      <c r="AB396" s="58"/>
      <c r="AC396" s="58"/>
    </row>
    <row r="397">
      <c r="A397" s="58"/>
      <c r="B397" s="58"/>
      <c r="C397" s="58"/>
      <c r="D397" s="58"/>
      <c r="E397" s="58"/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  <c r="AA397" s="58"/>
      <c r="AB397" s="58"/>
      <c r="AC397" s="58"/>
    </row>
    <row r="398">
      <c r="A398" s="58"/>
      <c r="B398" s="58"/>
      <c r="C398" s="58"/>
      <c r="D398" s="58"/>
      <c r="E398" s="58"/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  <c r="AA398" s="58"/>
      <c r="AB398" s="58"/>
      <c r="AC398" s="58"/>
    </row>
    <row r="399">
      <c r="A399" s="58"/>
      <c r="B399" s="58"/>
      <c r="C399" s="58"/>
      <c r="D399" s="58"/>
      <c r="E399" s="58"/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  <c r="AA399" s="58"/>
      <c r="AB399" s="58"/>
      <c r="AC399" s="58"/>
    </row>
    <row r="400">
      <c r="A400" s="58"/>
      <c r="B400" s="58"/>
      <c r="C400" s="58"/>
      <c r="D400" s="58"/>
      <c r="E400" s="58"/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  <c r="AA400" s="58"/>
      <c r="AB400" s="58"/>
      <c r="AC400" s="58"/>
    </row>
    <row r="401">
      <c r="A401" s="58"/>
      <c r="B401" s="58"/>
      <c r="C401" s="58"/>
      <c r="D401" s="58"/>
      <c r="E401" s="58"/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  <c r="AA401" s="58"/>
      <c r="AB401" s="58"/>
      <c r="AC401" s="58"/>
    </row>
    <row r="402">
      <c r="A402" s="58"/>
      <c r="B402" s="58"/>
      <c r="C402" s="58"/>
      <c r="D402" s="58"/>
      <c r="E402" s="58"/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  <c r="AA402" s="58"/>
      <c r="AB402" s="58"/>
      <c r="AC402" s="58"/>
    </row>
    <row r="403">
      <c r="A403" s="58"/>
      <c r="B403" s="58"/>
      <c r="C403" s="58"/>
      <c r="D403" s="58"/>
      <c r="E403" s="58"/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  <c r="AA403" s="58"/>
      <c r="AB403" s="58"/>
      <c r="AC403" s="58"/>
    </row>
    <row r="404">
      <c r="A404" s="58"/>
      <c r="B404" s="58"/>
      <c r="C404" s="58"/>
      <c r="D404" s="58"/>
      <c r="E404" s="58"/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  <c r="AA404" s="58"/>
      <c r="AB404" s="58"/>
      <c r="AC404" s="58"/>
    </row>
    <row r="405">
      <c r="A405" s="58"/>
      <c r="B405" s="58"/>
      <c r="C405" s="58"/>
      <c r="D405" s="58"/>
      <c r="E405" s="58"/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  <c r="AA405" s="58"/>
      <c r="AB405" s="58"/>
      <c r="AC405" s="58"/>
    </row>
    <row r="406">
      <c r="A406" s="58"/>
      <c r="B406" s="58"/>
      <c r="C406" s="58"/>
      <c r="D406" s="58"/>
      <c r="E406" s="58"/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  <c r="AA406" s="58"/>
      <c r="AB406" s="58"/>
      <c r="AC406" s="58"/>
    </row>
    <row r="407">
      <c r="A407" s="58"/>
      <c r="B407" s="58"/>
      <c r="C407" s="58"/>
      <c r="D407" s="58"/>
      <c r="E407" s="58"/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  <c r="AA407" s="58"/>
      <c r="AB407" s="58"/>
      <c r="AC407" s="58"/>
    </row>
    <row r="408">
      <c r="A408" s="58"/>
      <c r="B408" s="58"/>
      <c r="C408" s="58"/>
      <c r="D408" s="58"/>
      <c r="E408" s="58"/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  <c r="AA408" s="58"/>
      <c r="AB408" s="58"/>
      <c r="AC408" s="58"/>
    </row>
    <row r="409">
      <c r="A409" s="58"/>
      <c r="B409" s="58"/>
      <c r="C409" s="58"/>
      <c r="D409" s="58"/>
      <c r="E409" s="58"/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  <c r="AA409" s="58"/>
      <c r="AB409" s="58"/>
      <c r="AC409" s="58"/>
    </row>
    <row r="410">
      <c r="A410" s="58"/>
      <c r="B410" s="58"/>
      <c r="C410" s="58"/>
      <c r="D410" s="58"/>
      <c r="E410" s="58"/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  <c r="AA410" s="58"/>
      <c r="AB410" s="58"/>
      <c r="AC410" s="58"/>
    </row>
    <row r="411">
      <c r="A411" s="58"/>
      <c r="B411" s="58"/>
      <c r="C411" s="58"/>
      <c r="D411" s="58"/>
      <c r="E411" s="58"/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  <c r="AA411" s="58"/>
      <c r="AB411" s="58"/>
      <c r="AC411" s="58"/>
    </row>
    <row r="412">
      <c r="A412" s="58"/>
      <c r="B412" s="58"/>
      <c r="C412" s="58"/>
      <c r="D412" s="58"/>
      <c r="E412" s="58"/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  <c r="AA412" s="58"/>
      <c r="AB412" s="58"/>
      <c r="AC412" s="58"/>
    </row>
    <row r="413">
      <c r="A413" s="58"/>
      <c r="B413" s="58"/>
      <c r="C413" s="58"/>
      <c r="D413" s="58"/>
      <c r="E413" s="58"/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  <c r="AA413" s="58"/>
      <c r="AB413" s="58"/>
      <c r="AC413" s="58"/>
    </row>
    <row r="414">
      <c r="A414" s="58"/>
      <c r="B414" s="58"/>
      <c r="C414" s="58"/>
      <c r="D414" s="58"/>
      <c r="E414" s="58"/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  <c r="AA414" s="58"/>
      <c r="AB414" s="58"/>
      <c r="AC414" s="58"/>
    </row>
    <row r="415">
      <c r="A415" s="58"/>
      <c r="B415" s="58"/>
      <c r="C415" s="58"/>
      <c r="D415" s="58"/>
      <c r="E415" s="58"/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  <c r="AA415" s="58"/>
      <c r="AB415" s="58"/>
      <c r="AC415" s="58"/>
    </row>
    <row r="416">
      <c r="A416" s="58"/>
      <c r="B416" s="58"/>
      <c r="C416" s="58"/>
      <c r="D416" s="58"/>
      <c r="E416" s="58"/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  <c r="AA416" s="58"/>
      <c r="AB416" s="58"/>
      <c r="AC416" s="58"/>
    </row>
    <row r="417">
      <c r="A417" s="58"/>
      <c r="B417" s="58"/>
      <c r="C417" s="58"/>
      <c r="D417" s="58"/>
      <c r="E417" s="58"/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  <c r="AA417" s="58"/>
      <c r="AB417" s="58"/>
      <c r="AC417" s="58"/>
    </row>
    <row r="418">
      <c r="A418" s="58"/>
      <c r="B418" s="58"/>
      <c r="C418" s="58"/>
      <c r="D418" s="58"/>
      <c r="E418" s="58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  <c r="AA418" s="58"/>
      <c r="AB418" s="58"/>
      <c r="AC418" s="58"/>
    </row>
    <row r="419">
      <c r="A419" s="58"/>
      <c r="B419" s="58"/>
      <c r="C419" s="58"/>
      <c r="D419" s="58"/>
      <c r="E419" s="58"/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  <c r="AA419" s="58"/>
      <c r="AB419" s="58"/>
      <c r="AC419" s="58"/>
    </row>
    <row r="420">
      <c r="A420" s="58"/>
      <c r="B420" s="58"/>
      <c r="C420" s="58"/>
      <c r="D420" s="58"/>
      <c r="E420" s="58"/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  <c r="AA420" s="58"/>
      <c r="AB420" s="58"/>
      <c r="AC420" s="58"/>
    </row>
    <row r="421">
      <c r="A421" s="58"/>
      <c r="B421" s="58"/>
      <c r="C421" s="58"/>
      <c r="D421" s="58"/>
      <c r="E421" s="58"/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  <c r="AA421" s="58"/>
      <c r="AB421" s="58"/>
      <c r="AC421" s="58"/>
    </row>
    <row r="422">
      <c r="A422" s="58"/>
      <c r="B422" s="58"/>
      <c r="C422" s="58"/>
      <c r="D422" s="58"/>
      <c r="E422" s="58"/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  <c r="AA422" s="58"/>
      <c r="AB422" s="58"/>
      <c r="AC422" s="58"/>
    </row>
    <row r="423">
      <c r="A423" s="58"/>
      <c r="B423" s="58"/>
      <c r="C423" s="58"/>
      <c r="D423" s="58"/>
      <c r="E423" s="58"/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  <c r="AA423" s="58"/>
      <c r="AB423" s="58"/>
      <c r="AC423" s="58"/>
    </row>
    <row r="424">
      <c r="A424" s="58"/>
      <c r="B424" s="58"/>
      <c r="C424" s="58"/>
      <c r="D424" s="58"/>
      <c r="E424" s="58"/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  <c r="AA424" s="58"/>
      <c r="AB424" s="58"/>
      <c r="AC424" s="58"/>
    </row>
    <row r="425">
      <c r="A425" s="58"/>
      <c r="B425" s="58"/>
      <c r="C425" s="58"/>
      <c r="D425" s="58"/>
      <c r="E425" s="58"/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  <c r="AA425" s="58"/>
      <c r="AB425" s="58"/>
      <c r="AC425" s="58"/>
    </row>
    <row r="426">
      <c r="A426" s="58"/>
      <c r="B426" s="58"/>
      <c r="C426" s="58"/>
      <c r="D426" s="58"/>
      <c r="E426" s="58"/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  <c r="AA426" s="58"/>
      <c r="AB426" s="58"/>
      <c r="AC426" s="58"/>
    </row>
    <row r="427">
      <c r="A427" s="58"/>
      <c r="B427" s="58"/>
      <c r="C427" s="58"/>
      <c r="D427" s="58"/>
      <c r="E427" s="58"/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  <c r="AA427" s="58"/>
      <c r="AB427" s="58"/>
      <c r="AC427" s="58"/>
    </row>
    <row r="428">
      <c r="A428" s="58"/>
      <c r="B428" s="58"/>
      <c r="C428" s="58"/>
      <c r="D428" s="58"/>
      <c r="E428" s="58"/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  <c r="AA428" s="58"/>
      <c r="AB428" s="58"/>
      <c r="AC428" s="58"/>
    </row>
    <row r="429">
      <c r="A429" s="58"/>
      <c r="B429" s="58"/>
      <c r="C429" s="58"/>
      <c r="D429" s="58"/>
      <c r="E429" s="58"/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  <c r="AA429" s="58"/>
      <c r="AB429" s="58"/>
      <c r="AC429" s="58"/>
    </row>
    <row r="430">
      <c r="A430" s="58"/>
      <c r="B430" s="58"/>
      <c r="C430" s="58"/>
      <c r="D430" s="58"/>
      <c r="E430" s="58"/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  <c r="AA430" s="58"/>
      <c r="AB430" s="58"/>
      <c r="AC430" s="58"/>
    </row>
    <row r="431">
      <c r="A431" s="58"/>
      <c r="B431" s="58"/>
      <c r="C431" s="58"/>
      <c r="D431" s="58"/>
      <c r="E431" s="58"/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  <c r="AA431" s="58"/>
      <c r="AB431" s="58"/>
      <c r="AC431" s="58"/>
    </row>
    <row r="432">
      <c r="A432" s="58"/>
      <c r="B432" s="58"/>
      <c r="C432" s="58"/>
      <c r="D432" s="58"/>
      <c r="E432" s="58"/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  <c r="AA432" s="58"/>
      <c r="AB432" s="58"/>
      <c r="AC432" s="58"/>
    </row>
    <row r="433">
      <c r="A433" s="58"/>
      <c r="B433" s="58"/>
      <c r="C433" s="58"/>
      <c r="D433" s="58"/>
      <c r="E433" s="58"/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  <c r="AA433" s="58"/>
      <c r="AB433" s="58"/>
      <c r="AC433" s="58"/>
    </row>
    <row r="434">
      <c r="A434" s="58"/>
      <c r="B434" s="58"/>
      <c r="C434" s="58"/>
      <c r="D434" s="58"/>
      <c r="E434" s="58"/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  <c r="AA434" s="58"/>
      <c r="AB434" s="58"/>
      <c r="AC434" s="58"/>
    </row>
    <row r="435">
      <c r="A435" s="58"/>
      <c r="B435" s="58"/>
      <c r="C435" s="58"/>
      <c r="D435" s="58"/>
      <c r="E435" s="58"/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  <c r="AA435" s="58"/>
      <c r="AB435" s="58"/>
      <c r="AC435" s="58"/>
    </row>
    <row r="436">
      <c r="A436" s="58"/>
      <c r="B436" s="58"/>
      <c r="C436" s="58"/>
      <c r="D436" s="58"/>
      <c r="E436" s="58"/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  <c r="AA436" s="58"/>
      <c r="AB436" s="58"/>
      <c r="AC436" s="58"/>
    </row>
    <row r="437">
      <c r="A437" s="58"/>
      <c r="B437" s="58"/>
      <c r="C437" s="58"/>
      <c r="D437" s="58"/>
      <c r="E437" s="58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  <c r="AA437" s="58"/>
      <c r="AB437" s="58"/>
      <c r="AC437" s="58"/>
    </row>
    <row r="438">
      <c r="A438" s="58"/>
      <c r="B438" s="58"/>
      <c r="C438" s="58"/>
      <c r="D438" s="58"/>
      <c r="E438" s="58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  <c r="AA438" s="58"/>
      <c r="AB438" s="58"/>
      <c r="AC438" s="58"/>
    </row>
    <row r="439">
      <c r="A439" s="58"/>
      <c r="B439" s="58"/>
      <c r="C439" s="58"/>
      <c r="D439" s="58"/>
      <c r="E439" s="58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  <c r="AA439" s="58"/>
      <c r="AB439" s="58"/>
      <c r="AC439" s="58"/>
    </row>
    <row r="440">
      <c r="A440" s="58"/>
      <c r="B440" s="58"/>
      <c r="C440" s="58"/>
      <c r="D440" s="58"/>
      <c r="E440" s="58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  <c r="AA440" s="58"/>
      <c r="AB440" s="58"/>
      <c r="AC440" s="58"/>
    </row>
    <row r="441">
      <c r="A441" s="58"/>
      <c r="B441" s="58"/>
      <c r="C441" s="58"/>
      <c r="D441" s="58"/>
      <c r="E441" s="58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  <c r="AA441" s="58"/>
      <c r="AB441" s="58"/>
      <c r="AC441" s="58"/>
    </row>
    <row r="442">
      <c r="A442" s="58"/>
      <c r="B442" s="58"/>
      <c r="C442" s="58"/>
      <c r="D442" s="58"/>
      <c r="E442" s="58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  <c r="AA442" s="58"/>
      <c r="AB442" s="58"/>
      <c r="AC442" s="58"/>
    </row>
    <row r="443">
      <c r="A443" s="58"/>
      <c r="B443" s="58"/>
      <c r="C443" s="58"/>
      <c r="D443" s="58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  <c r="AA443" s="58"/>
      <c r="AB443" s="58"/>
      <c r="AC443" s="58"/>
    </row>
    <row r="444">
      <c r="A444" s="58"/>
      <c r="B444" s="58"/>
      <c r="C444" s="58"/>
      <c r="D444" s="58"/>
      <c r="E444" s="58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  <c r="AA444" s="58"/>
      <c r="AB444" s="58"/>
      <c r="AC444" s="58"/>
    </row>
    <row r="445">
      <c r="A445" s="58"/>
      <c r="B445" s="58"/>
      <c r="C445" s="58"/>
      <c r="D445" s="58"/>
      <c r="E445" s="58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  <c r="AA445" s="58"/>
      <c r="AB445" s="58"/>
      <c r="AC445" s="58"/>
    </row>
    <row r="446">
      <c r="A446" s="58"/>
      <c r="B446" s="58"/>
      <c r="C446" s="58"/>
      <c r="D446" s="58"/>
      <c r="E446" s="58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  <c r="AA446" s="58"/>
      <c r="AB446" s="58"/>
      <c r="AC446" s="58"/>
    </row>
    <row r="447">
      <c r="A447" s="58"/>
      <c r="B447" s="58"/>
      <c r="C447" s="58"/>
      <c r="D447" s="58"/>
      <c r="E447" s="58"/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  <c r="AA447" s="58"/>
      <c r="AB447" s="58"/>
      <c r="AC447" s="58"/>
    </row>
    <row r="448">
      <c r="A448" s="58"/>
      <c r="B448" s="58"/>
      <c r="C448" s="58"/>
      <c r="D448" s="58"/>
      <c r="E448" s="58"/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  <c r="AA448" s="58"/>
      <c r="AB448" s="58"/>
      <c r="AC448" s="58"/>
    </row>
    <row r="449">
      <c r="A449" s="58"/>
      <c r="B449" s="58"/>
      <c r="C449" s="58"/>
      <c r="D449" s="58"/>
      <c r="E449" s="58"/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  <c r="AA449" s="58"/>
      <c r="AB449" s="58"/>
      <c r="AC449" s="58"/>
    </row>
    <row r="450">
      <c r="A450" s="58"/>
      <c r="B450" s="58"/>
      <c r="C450" s="58"/>
      <c r="D450" s="58"/>
      <c r="E450" s="58"/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  <c r="AA450" s="58"/>
      <c r="AB450" s="58"/>
      <c r="AC450" s="58"/>
    </row>
    <row r="451">
      <c r="A451" s="58"/>
      <c r="B451" s="58"/>
      <c r="C451" s="58"/>
      <c r="D451" s="58"/>
      <c r="E451" s="58"/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  <c r="AA451" s="58"/>
      <c r="AB451" s="58"/>
      <c r="AC451" s="58"/>
    </row>
    <row r="452">
      <c r="A452" s="58"/>
      <c r="B452" s="58"/>
      <c r="C452" s="58"/>
      <c r="D452" s="58"/>
      <c r="E452" s="58"/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  <c r="AA452" s="58"/>
      <c r="AB452" s="58"/>
      <c r="AC452" s="58"/>
    </row>
    <row r="453">
      <c r="A453" s="58"/>
      <c r="B453" s="58"/>
      <c r="C453" s="58"/>
      <c r="D453" s="58"/>
      <c r="E453" s="58"/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  <c r="AA453" s="58"/>
      <c r="AB453" s="58"/>
      <c r="AC453" s="58"/>
    </row>
    <row r="454">
      <c r="A454" s="58"/>
      <c r="B454" s="58"/>
      <c r="C454" s="58"/>
      <c r="D454" s="58"/>
      <c r="E454" s="58"/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  <c r="AA454" s="58"/>
      <c r="AB454" s="58"/>
      <c r="AC454" s="58"/>
    </row>
    <row r="455">
      <c r="A455" s="58"/>
      <c r="B455" s="58"/>
      <c r="C455" s="58"/>
      <c r="D455" s="58"/>
      <c r="E455" s="58"/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  <c r="AA455" s="58"/>
      <c r="AB455" s="58"/>
      <c r="AC455" s="58"/>
    </row>
    <row r="456">
      <c r="A456" s="58"/>
      <c r="B456" s="58"/>
      <c r="C456" s="58"/>
      <c r="D456" s="58"/>
      <c r="E456" s="58"/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  <c r="AA456" s="58"/>
      <c r="AB456" s="58"/>
      <c r="AC456" s="58"/>
    </row>
    <row r="457">
      <c r="A457" s="58"/>
      <c r="B457" s="58"/>
      <c r="C457" s="58"/>
      <c r="D457" s="58"/>
      <c r="E457" s="58"/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  <c r="AA457" s="58"/>
      <c r="AB457" s="58"/>
      <c r="AC457" s="58"/>
    </row>
    <row r="458">
      <c r="A458" s="58"/>
      <c r="B458" s="58"/>
      <c r="C458" s="58"/>
      <c r="D458" s="58"/>
      <c r="E458" s="58"/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  <c r="AA458" s="58"/>
      <c r="AB458" s="58"/>
      <c r="AC458" s="58"/>
    </row>
    <row r="459">
      <c r="A459" s="58"/>
      <c r="B459" s="58"/>
      <c r="C459" s="58"/>
      <c r="D459" s="58"/>
      <c r="E459" s="58"/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  <c r="AA459" s="58"/>
      <c r="AB459" s="58"/>
      <c r="AC459" s="58"/>
    </row>
    <row r="460">
      <c r="A460" s="58"/>
      <c r="B460" s="58"/>
      <c r="C460" s="58"/>
      <c r="D460" s="58"/>
      <c r="E460" s="58"/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  <c r="AA460" s="58"/>
      <c r="AB460" s="58"/>
      <c r="AC460" s="58"/>
    </row>
    <row r="461">
      <c r="A461" s="58"/>
      <c r="B461" s="58"/>
      <c r="C461" s="58"/>
      <c r="D461" s="58"/>
      <c r="E461" s="58"/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  <c r="AA461" s="58"/>
      <c r="AB461" s="58"/>
      <c r="AC461" s="58"/>
    </row>
    <row r="462">
      <c r="A462" s="58"/>
      <c r="B462" s="58"/>
      <c r="C462" s="58"/>
      <c r="D462" s="58"/>
      <c r="E462" s="58"/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  <c r="AA462" s="58"/>
      <c r="AB462" s="58"/>
      <c r="AC462" s="58"/>
    </row>
    <row r="463">
      <c r="A463" s="58"/>
      <c r="B463" s="58"/>
      <c r="C463" s="58"/>
      <c r="D463" s="58"/>
      <c r="E463" s="58"/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  <c r="AA463" s="58"/>
      <c r="AB463" s="58"/>
      <c r="AC463" s="58"/>
    </row>
    <row r="464">
      <c r="A464" s="58"/>
      <c r="B464" s="58"/>
      <c r="C464" s="58"/>
      <c r="D464" s="58"/>
      <c r="E464" s="58"/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  <c r="AA464" s="58"/>
      <c r="AB464" s="58"/>
      <c r="AC464" s="58"/>
    </row>
    <row r="465">
      <c r="A465" s="58"/>
      <c r="B465" s="58"/>
      <c r="C465" s="58"/>
      <c r="D465" s="58"/>
      <c r="E465" s="58"/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  <c r="AA465" s="58"/>
      <c r="AB465" s="58"/>
      <c r="AC465" s="58"/>
    </row>
    <row r="466">
      <c r="A466" s="58"/>
      <c r="B466" s="58"/>
      <c r="C466" s="58"/>
      <c r="D466" s="58"/>
      <c r="E466" s="58"/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  <c r="AA466" s="58"/>
      <c r="AB466" s="58"/>
      <c r="AC466" s="58"/>
    </row>
    <row r="467">
      <c r="A467" s="58"/>
      <c r="B467" s="58"/>
      <c r="C467" s="58"/>
      <c r="D467" s="58"/>
      <c r="E467" s="58"/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  <c r="AA467" s="58"/>
      <c r="AB467" s="58"/>
      <c r="AC467" s="58"/>
    </row>
    <row r="468">
      <c r="A468" s="58"/>
      <c r="B468" s="58"/>
      <c r="C468" s="58"/>
      <c r="D468" s="58"/>
      <c r="E468" s="58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  <c r="AA468" s="58"/>
      <c r="AB468" s="58"/>
      <c r="AC468" s="58"/>
    </row>
    <row r="469">
      <c r="A469" s="58"/>
      <c r="B469" s="58"/>
      <c r="C469" s="58"/>
      <c r="D469" s="58"/>
      <c r="E469" s="58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  <c r="AA469" s="58"/>
      <c r="AB469" s="58"/>
      <c r="AC469" s="58"/>
    </row>
    <row r="470">
      <c r="A470" s="58"/>
      <c r="B470" s="58"/>
      <c r="C470" s="58"/>
      <c r="D470" s="58"/>
      <c r="E470" s="58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  <c r="AA470" s="58"/>
      <c r="AB470" s="58"/>
      <c r="AC470" s="58"/>
    </row>
    <row r="471">
      <c r="A471" s="58"/>
      <c r="B471" s="58"/>
      <c r="C471" s="58"/>
      <c r="D471" s="58"/>
      <c r="E471" s="58"/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  <c r="AA471" s="58"/>
      <c r="AB471" s="58"/>
      <c r="AC471" s="58"/>
    </row>
    <row r="472">
      <c r="A472" s="58"/>
      <c r="B472" s="58"/>
      <c r="C472" s="58"/>
      <c r="D472" s="58"/>
      <c r="E472" s="58"/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  <c r="AA472" s="58"/>
      <c r="AB472" s="58"/>
      <c r="AC472" s="58"/>
    </row>
    <row r="473">
      <c r="A473" s="58"/>
      <c r="B473" s="58"/>
      <c r="C473" s="58"/>
      <c r="D473" s="58"/>
      <c r="E473" s="58"/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  <c r="AA473" s="58"/>
      <c r="AB473" s="58"/>
      <c r="AC473" s="58"/>
    </row>
    <row r="474">
      <c r="A474" s="58"/>
      <c r="B474" s="58"/>
      <c r="C474" s="58"/>
      <c r="D474" s="58"/>
      <c r="E474" s="58"/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  <c r="AA474" s="58"/>
      <c r="AB474" s="58"/>
      <c r="AC474" s="58"/>
    </row>
    <row r="475">
      <c r="A475" s="58"/>
      <c r="B475" s="58"/>
      <c r="C475" s="58"/>
      <c r="D475" s="58"/>
      <c r="E475" s="58"/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  <c r="AA475" s="58"/>
      <c r="AB475" s="58"/>
      <c r="AC475" s="58"/>
    </row>
    <row r="476">
      <c r="A476" s="58"/>
      <c r="B476" s="58"/>
      <c r="C476" s="58"/>
      <c r="D476" s="58"/>
      <c r="E476" s="58"/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  <c r="AA476" s="58"/>
      <c r="AB476" s="58"/>
      <c r="AC476" s="58"/>
    </row>
    <row r="477">
      <c r="A477" s="58"/>
      <c r="B477" s="58"/>
      <c r="C477" s="58"/>
      <c r="D477" s="58"/>
      <c r="E477" s="58"/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  <c r="AA477" s="58"/>
      <c r="AB477" s="58"/>
      <c r="AC477" s="58"/>
    </row>
    <row r="478">
      <c r="A478" s="58"/>
      <c r="B478" s="58"/>
      <c r="C478" s="58"/>
      <c r="D478" s="58"/>
      <c r="E478" s="58"/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  <c r="AA478" s="58"/>
      <c r="AB478" s="58"/>
      <c r="AC478" s="58"/>
    </row>
    <row r="479">
      <c r="A479" s="58"/>
      <c r="B479" s="58"/>
      <c r="C479" s="58"/>
      <c r="D479" s="58"/>
      <c r="E479" s="58"/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  <c r="AA479" s="58"/>
      <c r="AB479" s="58"/>
      <c r="AC479" s="58"/>
    </row>
    <row r="480">
      <c r="A480" s="58"/>
      <c r="B480" s="58"/>
      <c r="C480" s="58"/>
      <c r="D480" s="58"/>
      <c r="E480" s="58"/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  <c r="AA480" s="58"/>
      <c r="AB480" s="58"/>
      <c r="AC480" s="58"/>
    </row>
    <row r="481">
      <c r="A481" s="58"/>
      <c r="B481" s="58"/>
      <c r="C481" s="58"/>
      <c r="D481" s="58"/>
      <c r="E481" s="58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  <c r="AA481" s="58"/>
      <c r="AB481" s="58"/>
      <c r="AC481" s="58"/>
    </row>
    <row r="482">
      <c r="A482" s="58"/>
      <c r="B482" s="58"/>
      <c r="C482" s="58"/>
      <c r="D482" s="58"/>
      <c r="E482" s="58"/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  <c r="AA482" s="58"/>
      <c r="AB482" s="58"/>
      <c r="AC482" s="58"/>
    </row>
    <row r="483">
      <c r="A483" s="58"/>
      <c r="B483" s="58"/>
      <c r="C483" s="58"/>
      <c r="D483" s="58"/>
      <c r="E483" s="58"/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  <c r="AA483" s="58"/>
      <c r="AB483" s="58"/>
      <c r="AC483" s="58"/>
    </row>
    <row r="484">
      <c r="A484" s="58"/>
      <c r="B484" s="58"/>
      <c r="C484" s="58"/>
      <c r="D484" s="58"/>
      <c r="E484" s="58"/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  <c r="AA484" s="58"/>
      <c r="AB484" s="58"/>
      <c r="AC484" s="58"/>
    </row>
    <row r="485">
      <c r="A485" s="58"/>
      <c r="B485" s="58"/>
      <c r="C485" s="58"/>
      <c r="D485" s="58"/>
      <c r="E485" s="58"/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  <c r="AA485" s="58"/>
      <c r="AB485" s="58"/>
      <c r="AC485" s="58"/>
    </row>
    <row r="486">
      <c r="A486" s="58"/>
      <c r="B486" s="58"/>
      <c r="C486" s="58"/>
      <c r="D486" s="58"/>
      <c r="E486" s="58"/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  <c r="AA486" s="58"/>
      <c r="AB486" s="58"/>
      <c r="AC486" s="58"/>
    </row>
    <row r="487">
      <c r="A487" s="58"/>
      <c r="B487" s="58"/>
      <c r="C487" s="58"/>
      <c r="D487" s="58"/>
      <c r="E487" s="58"/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  <c r="AA487" s="58"/>
      <c r="AB487" s="58"/>
      <c r="AC487" s="58"/>
    </row>
    <row r="488">
      <c r="A488" s="58"/>
      <c r="B488" s="58"/>
      <c r="C488" s="58"/>
      <c r="D488" s="58"/>
      <c r="E488" s="58"/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  <c r="AA488" s="58"/>
      <c r="AB488" s="58"/>
      <c r="AC488" s="58"/>
    </row>
    <row r="489">
      <c r="A489" s="58"/>
      <c r="B489" s="58"/>
      <c r="C489" s="58"/>
      <c r="D489" s="58"/>
      <c r="E489" s="58"/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  <c r="AA489" s="58"/>
      <c r="AB489" s="58"/>
      <c r="AC489" s="58"/>
    </row>
    <row r="490">
      <c r="A490" s="58"/>
      <c r="B490" s="58"/>
      <c r="C490" s="58"/>
      <c r="D490" s="58"/>
      <c r="E490" s="58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  <c r="AA490" s="58"/>
      <c r="AB490" s="58"/>
      <c r="AC490" s="58"/>
    </row>
    <row r="491">
      <c r="A491" s="58"/>
      <c r="B491" s="58"/>
      <c r="C491" s="58"/>
      <c r="D491" s="58"/>
      <c r="E491" s="58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  <c r="AA491" s="58"/>
      <c r="AB491" s="58"/>
      <c r="AC491" s="58"/>
    </row>
    <row r="492">
      <c r="A492" s="58"/>
      <c r="B492" s="58"/>
      <c r="C492" s="58"/>
      <c r="D492" s="58"/>
      <c r="E492" s="58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  <c r="AA492" s="58"/>
      <c r="AB492" s="58"/>
      <c r="AC492" s="58"/>
    </row>
    <row r="493">
      <c r="A493" s="58"/>
      <c r="B493" s="58"/>
      <c r="C493" s="58"/>
      <c r="D493" s="58"/>
      <c r="E493" s="58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  <c r="AA493" s="58"/>
      <c r="AB493" s="58"/>
      <c r="AC493" s="58"/>
    </row>
    <row r="494">
      <c r="A494" s="58"/>
      <c r="B494" s="58"/>
      <c r="C494" s="58"/>
      <c r="D494" s="58"/>
      <c r="E494" s="58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  <c r="AA494" s="58"/>
      <c r="AB494" s="58"/>
      <c r="AC494" s="58"/>
    </row>
    <row r="495">
      <c r="A495" s="58"/>
      <c r="B495" s="58"/>
      <c r="C495" s="58"/>
      <c r="D495" s="58"/>
      <c r="E495" s="58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  <c r="AA495" s="58"/>
      <c r="AB495" s="58"/>
      <c r="AC495" s="58"/>
    </row>
    <row r="496">
      <c r="A496" s="58"/>
      <c r="B496" s="58"/>
      <c r="C496" s="58"/>
      <c r="D496" s="58"/>
      <c r="E496" s="58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  <c r="AA496" s="58"/>
      <c r="AB496" s="58"/>
      <c r="AC496" s="58"/>
    </row>
    <row r="497">
      <c r="A497" s="58"/>
      <c r="B497" s="58"/>
      <c r="C497" s="58"/>
      <c r="D497" s="58"/>
      <c r="E497" s="58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  <c r="AA497" s="58"/>
      <c r="AB497" s="58"/>
      <c r="AC497" s="58"/>
    </row>
    <row r="498">
      <c r="A498" s="58"/>
      <c r="B498" s="58"/>
      <c r="C498" s="58"/>
      <c r="D498" s="58"/>
      <c r="E498" s="58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  <c r="AA498" s="58"/>
      <c r="AB498" s="58"/>
      <c r="AC498" s="58"/>
    </row>
    <row r="499">
      <c r="A499" s="58"/>
      <c r="B499" s="58"/>
      <c r="C499" s="58"/>
      <c r="D499" s="58"/>
      <c r="E499" s="58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  <c r="AA499" s="58"/>
      <c r="AB499" s="58"/>
      <c r="AC499" s="58"/>
    </row>
    <row r="500">
      <c r="A500" s="58"/>
      <c r="B500" s="58"/>
      <c r="C500" s="58"/>
      <c r="D500" s="58"/>
      <c r="E500" s="58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  <c r="AA500" s="58"/>
      <c r="AB500" s="58"/>
      <c r="AC500" s="58"/>
    </row>
    <row r="501">
      <c r="A501" s="58"/>
      <c r="B501" s="58"/>
      <c r="C501" s="58"/>
      <c r="D501" s="58"/>
      <c r="E501" s="58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  <c r="AA501" s="58"/>
      <c r="AB501" s="58"/>
      <c r="AC501" s="58"/>
    </row>
    <row r="502">
      <c r="A502" s="58"/>
      <c r="B502" s="58"/>
      <c r="C502" s="58"/>
      <c r="D502" s="58"/>
      <c r="E502" s="58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  <c r="AA502" s="58"/>
      <c r="AB502" s="58"/>
      <c r="AC502" s="58"/>
    </row>
    <row r="503">
      <c r="A503" s="58"/>
      <c r="B503" s="58"/>
      <c r="C503" s="58"/>
      <c r="D503" s="58"/>
      <c r="E503" s="58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  <c r="AA503" s="58"/>
      <c r="AB503" s="58"/>
      <c r="AC503" s="58"/>
    </row>
    <row r="504">
      <c r="A504" s="58"/>
      <c r="B504" s="58"/>
      <c r="C504" s="58"/>
      <c r="D504" s="58"/>
      <c r="E504" s="58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  <c r="AA504" s="58"/>
      <c r="AB504" s="58"/>
      <c r="AC504" s="58"/>
    </row>
    <row r="505">
      <c r="A505" s="58"/>
      <c r="B505" s="58"/>
      <c r="C505" s="58"/>
      <c r="D505" s="58"/>
      <c r="E505" s="58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  <c r="AA505" s="58"/>
      <c r="AB505" s="58"/>
      <c r="AC505" s="58"/>
    </row>
    <row r="506">
      <c r="A506" s="58"/>
      <c r="B506" s="58"/>
      <c r="C506" s="58"/>
      <c r="D506" s="58"/>
      <c r="E506" s="58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  <c r="AA506" s="58"/>
      <c r="AB506" s="58"/>
      <c r="AC506" s="58"/>
    </row>
    <row r="507">
      <c r="A507" s="58"/>
      <c r="B507" s="58"/>
      <c r="C507" s="58"/>
      <c r="D507" s="58"/>
      <c r="E507" s="58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  <c r="AA507" s="58"/>
      <c r="AB507" s="58"/>
      <c r="AC507" s="58"/>
    </row>
    <row r="508">
      <c r="A508" s="58"/>
      <c r="B508" s="58"/>
      <c r="C508" s="58"/>
      <c r="D508" s="58"/>
      <c r="E508" s="58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  <c r="AA508" s="58"/>
      <c r="AB508" s="58"/>
      <c r="AC508" s="58"/>
    </row>
    <row r="509">
      <c r="A509" s="58"/>
      <c r="B509" s="58"/>
      <c r="C509" s="58"/>
      <c r="D509" s="58"/>
      <c r="E509" s="58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  <c r="AA509" s="58"/>
      <c r="AB509" s="58"/>
      <c r="AC509" s="58"/>
    </row>
    <row r="510">
      <c r="A510" s="58"/>
      <c r="B510" s="58"/>
      <c r="C510" s="58"/>
      <c r="D510" s="58"/>
      <c r="E510" s="58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  <c r="AA510" s="58"/>
      <c r="AB510" s="58"/>
      <c r="AC510" s="58"/>
    </row>
    <row r="511">
      <c r="A511" s="58"/>
      <c r="B511" s="58"/>
      <c r="C511" s="58"/>
      <c r="D511" s="58"/>
      <c r="E511" s="58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  <c r="AA511" s="58"/>
      <c r="AB511" s="58"/>
      <c r="AC511" s="58"/>
    </row>
    <row r="512">
      <c r="A512" s="58"/>
      <c r="B512" s="58"/>
      <c r="C512" s="58"/>
      <c r="D512" s="58"/>
      <c r="E512" s="58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  <c r="AA512" s="58"/>
      <c r="AB512" s="58"/>
      <c r="AC512" s="58"/>
    </row>
    <row r="513">
      <c r="A513" s="58"/>
      <c r="B513" s="58"/>
      <c r="C513" s="58"/>
      <c r="D513" s="58"/>
      <c r="E513" s="58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  <c r="AA513" s="58"/>
      <c r="AB513" s="58"/>
      <c r="AC513" s="58"/>
    </row>
    <row r="514">
      <c r="A514" s="58"/>
      <c r="B514" s="58"/>
      <c r="C514" s="58"/>
      <c r="D514" s="58"/>
      <c r="E514" s="58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  <c r="AA514" s="58"/>
      <c r="AB514" s="58"/>
      <c r="AC514" s="58"/>
    </row>
    <row r="515">
      <c r="A515" s="58"/>
      <c r="B515" s="58"/>
      <c r="C515" s="58"/>
      <c r="D515" s="58"/>
      <c r="E515" s="58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  <c r="AA515" s="58"/>
      <c r="AB515" s="58"/>
      <c r="AC515" s="58"/>
    </row>
    <row r="516">
      <c r="A516" s="58"/>
      <c r="B516" s="58"/>
      <c r="C516" s="58"/>
      <c r="D516" s="58"/>
      <c r="E516" s="58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  <c r="AA516" s="58"/>
      <c r="AB516" s="58"/>
      <c r="AC516" s="58"/>
    </row>
    <row r="517">
      <c r="A517" s="58"/>
      <c r="B517" s="58"/>
      <c r="C517" s="58"/>
      <c r="D517" s="58"/>
      <c r="E517" s="58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  <c r="AA517" s="58"/>
      <c r="AB517" s="58"/>
      <c r="AC517" s="58"/>
    </row>
    <row r="518">
      <c r="A518" s="58"/>
      <c r="B518" s="58"/>
      <c r="C518" s="58"/>
      <c r="D518" s="58"/>
      <c r="E518" s="58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  <c r="AA518" s="58"/>
      <c r="AB518" s="58"/>
      <c r="AC518" s="58"/>
    </row>
    <row r="519">
      <c r="A519" s="58"/>
      <c r="B519" s="58"/>
      <c r="C519" s="58"/>
      <c r="D519" s="58"/>
      <c r="E519" s="58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  <c r="AA519" s="58"/>
      <c r="AB519" s="58"/>
      <c r="AC519" s="58"/>
    </row>
    <row r="520">
      <c r="A520" s="58"/>
      <c r="B520" s="58"/>
      <c r="C520" s="58"/>
      <c r="D520" s="58"/>
      <c r="E520" s="58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  <c r="AA520" s="58"/>
      <c r="AB520" s="58"/>
      <c r="AC520" s="58"/>
    </row>
    <row r="521">
      <c r="A521" s="58"/>
      <c r="B521" s="58"/>
      <c r="C521" s="58"/>
      <c r="D521" s="58"/>
      <c r="E521" s="58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  <c r="AA521" s="58"/>
      <c r="AB521" s="58"/>
      <c r="AC521" s="58"/>
    </row>
    <row r="522">
      <c r="A522" s="58"/>
      <c r="B522" s="58"/>
      <c r="C522" s="58"/>
      <c r="D522" s="58"/>
      <c r="E522" s="58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  <c r="AA522" s="58"/>
      <c r="AB522" s="58"/>
      <c r="AC522" s="58"/>
    </row>
    <row r="523">
      <c r="A523" s="58"/>
      <c r="B523" s="58"/>
      <c r="C523" s="58"/>
      <c r="D523" s="58"/>
      <c r="E523" s="58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  <c r="AA523" s="58"/>
      <c r="AB523" s="58"/>
      <c r="AC523" s="58"/>
    </row>
    <row r="524">
      <c r="A524" s="58"/>
      <c r="B524" s="58"/>
      <c r="C524" s="58"/>
      <c r="D524" s="58"/>
      <c r="E524" s="58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  <c r="AA524" s="58"/>
      <c r="AB524" s="58"/>
      <c r="AC524" s="58"/>
    </row>
    <row r="525">
      <c r="A525" s="58"/>
      <c r="B525" s="58"/>
      <c r="C525" s="58"/>
      <c r="D525" s="58"/>
      <c r="E525" s="58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  <c r="AA525" s="58"/>
      <c r="AB525" s="58"/>
      <c r="AC525" s="58"/>
    </row>
    <row r="526">
      <c r="A526" s="58"/>
      <c r="B526" s="58"/>
      <c r="C526" s="58"/>
      <c r="D526" s="58"/>
      <c r="E526" s="58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  <c r="AA526" s="58"/>
      <c r="AB526" s="58"/>
      <c r="AC526" s="58"/>
    </row>
    <row r="527">
      <c r="A527" s="58"/>
      <c r="B527" s="58"/>
      <c r="C527" s="58"/>
      <c r="D527" s="58"/>
      <c r="E527" s="58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  <c r="AA527" s="58"/>
      <c r="AB527" s="58"/>
      <c r="AC527" s="58"/>
    </row>
    <row r="528">
      <c r="A528" s="58"/>
      <c r="B528" s="58"/>
      <c r="C528" s="58"/>
      <c r="D528" s="58"/>
      <c r="E528" s="58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  <c r="AA528" s="58"/>
      <c r="AB528" s="58"/>
      <c r="AC528" s="58"/>
    </row>
    <row r="529">
      <c r="A529" s="58"/>
      <c r="B529" s="58"/>
      <c r="C529" s="58"/>
      <c r="D529" s="58"/>
      <c r="E529" s="58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  <c r="AA529" s="58"/>
      <c r="AB529" s="58"/>
      <c r="AC529" s="58"/>
    </row>
    <row r="530">
      <c r="A530" s="58"/>
      <c r="B530" s="58"/>
      <c r="C530" s="58"/>
      <c r="D530" s="58"/>
      <c r="E530" s="58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  <c r="AA530" s="58"/>
      <c r="AB530" s="58"/>
      <c r="AC530" s="58"/>
    </row>
    <row r="531">
      <c r="A531" s="58"/>
      <c r="B531" s="58"/>
      <c r="C531" s="58"/>
      <c r="D531" s="58"/>
      <c r="E531" s="58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  <c r="AA531" s="58"/>
      <c r="AB531" s="58"/>
      <c r="AC531" s="58"/>
    </row>
    <row r="532">
      <c r="A532" s="58"/>
      <c r="B532" s="58"/>
      <c r="C532" s="58"/>
      <c r="D532" s="58"/>
      <c r="E532" s="58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  <c r="AA532" s="58"/>
      <c r="AB532" s="58"/>
      <c r="AC532" s="58"/>
    </row>
    <row r="533">
      <c r="A533" s="58"/>
      <c r="B533" s="58"/>
      <c r="C533" s="58"/>
      <c r="D533" s="58"/>
      <c r="E533" s="58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  <c r="AA533" s="58"/>
      <c r="AB533" s="58"/>
      <c r="AC533" s="58"/>
    </row>
    <row r="534">
      <c r="A534" s="58"/>
      <c r="B534" s="58"/>
      <c r="C534" s="58"/>
      <c r="D534" s="58"/>
      <c r="E534" s="58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  <c r="AA534" s="58"/>
      <c r="AB534" s="58"/>
      <c r="AC534" s="58"/>
    </row>
    <row r="535">
      <c r="A535" s="58"/>
      <c r="B535" s="58"/>
      <c r="C535" s="58"/>
      <c r="D535" s="58"/>
      <c r="E535" s="58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  <c r="AA535" s="58"/>
      <c r="AB535" s="58"/>
      <c r="AC535" s="58"/>
    </row>
    <row r="536">
      <c r="A536" s="58"/>
      <c r="B536" s="58"/>
      <c r="C536" s="58"/>
      <c r="D536" s="58"/>
      <c r="E536" s="58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  <c r="AA536" s="58"/>
      <c r="AB536" s="58"/>
      <c r="AC536" s="58"/>
    </row>
    <row r="537">
      <c r="A537" s="58"/>
      <c r="B537" s="58"/>
      <c r="C537" s="58"/>
      <c r="D537" s="58"/>
      <c r="E537" s="58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  <c r="AA537" s="58"/>
      <c r="AB537" s="58"/>
      <c r="AC537" s="58"/>
    </row>
    <row r="538">
      <c r="A538" s="58"/>
      <c r="B538" s="58"/>
      <c r="C538" s="58"/>
      <c r="D538" s="58"/>
      <c r="E538" s="58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  <c r="AA538" s="58"/>
      <c r="AB538" s="58"/>
      <c r="AC538" s="58"/>
    </row>
    <row r="539">
      <c r="A539" s="58"/>
      <c r="B539" s="58"/>
      <c r="C539" s="58"/>
      <c r="D539" s="58"/>
      <c r="E539" s="58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  <c r="AA539" s="58"/>
      <c r="AB539" s="58"/>
      <c r="AC539" s="58"/>
    </row>
    <row r="540">
      <c r="A540" s="58"/>
      <c r="B540" s="58"/>
      <c r="C540" s="58"/>
      <c r="D540" s="58"/>
      <c r="E540" s="58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  <c r="AA540" s="58"/>
      <c r="AB540" s="58"/>
      <c r="AC540" s="58"/>
    </row>
    <row r="541">
      <c r="A541" s="58"/>
      <c r="B541" s="58"/>
      <c r="C541" s="58"/>
      <c r="D541" s="58"/>
      <c r="E541" s="58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  <c r="AA541" s="58"/>
      <c r="AB541" s="58"/>
      <c r="AC541" s="58"/>
    </row>
    <row r="542">
      <c r="A542" s="58"/>
      <c r="B542" s="58"/>
      <c r="C542" s="58"/>
      <c r="D542" s="58"/>
      <c r="E542" s="58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  <c r="AA542" s="58"/>
      <c r="AB542" s="58"/>
      <c r="AC542" s="58"/>
    </row>
    <row r="543">
      <c r="A543" s="58"/>
      <c r="B543" s="58"/>
      <c r="C543" s="58"/>
      <c r="D543" s="58"/>
      <c r="E543" s="58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  <c r="AA543" s="58"/>
      <c r="AB543" s="58"/>
      <c r="AC543" s="58"/>
    </row>
    <row r="544">
      <c r="A544" s="58"/>
      <c r="B544" s="58"/>
      <c r="C544" s="58"/>
      <c r="D544" s="58"/>
      <c r="E544" s="58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  <c r="AA544" s="58"/>
      <c r="AB544" s="58"/>
      <c r="AC544" s="58"/>
    </row>
    <row r="545">
      <c r="A545" s="58"/>
      <c r="B545" s="58"/>
      <c r="C545" s="58"/>
      <c r="D545" s="58"/>
      <c r="E545" s="58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  <c r="AA545" s="58"/>
      <c r="AB545" s="58"/>
      <c r="AC545" s="58"/>
    </row>
    <row r="546">
      <c r="A546" s="58"/>
      <c r="B546" s="58"/>
      <c r="C546" s="58"/>
      <c r="D546" s="58"/>
      <c r="E546" s="58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  <c r="AA546" s="58"/>
      <c r="AB546" s="58"/>
      <c r="AC546" s="58"/>
    </row>
    <row r="547">
      <c r="A547" s="58"/>
      <c r="B547" s="58"/>
      <c r="C547" s="58"/>
      <c r="D547" s="58"/>
      <c r="E547" s="58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  <c r="AA547" s="58"/>
      <c r="AB547" s="58"/>
      <c r="AC547" s="58"/>
    </row>
    <row r="548">
      <c r="A548" s="58"/>
      <c r="B548" s="58"/>
      <c r="C548" s="58"/>
      <c r="D548" s="58"/>
      <c r="E548" s="58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  <c r="AA548" s="58"/>
      <c r="AB548" s="58"/>
      <c r="AC548" s="58"/>
    </row>
    <row r="549">
      <c r="A549" s="58"/>
      <c r="B549" s="58"/>
      <c r="C549" s="58"/>
      <c r="D549" s="58"/>
      <c r="E549" s="58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  <c r="AA549" s="58"/>
      <c r="AB549" s="58"/>
      <c r="AC549" s="58"/>
    </row>
    <row r="550">
      <c r="A550" s="58"/>
      <c r="B550" s="58"/>
      <c r="C550" s="58"/>
      <c r="D550" s="58"/>
      <c r="E550" s="58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  <c r="AA550" s="58"/>
      <c r="AB550" s="58"/>
      <c r="AC550" s="58"/>
    </row>
    <row r="551">
      <c r="A551" s="58"/>
      <c r="B551" s="58"/>
      <c r="C551" s="58"/>
      <c r="D551" s="58"/>
      <c r="E551" s="58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  <c r="AA551" s="58"/>
      <c r="AB551" s="58"/>
      <c r="AC551" s="58"/>
    </row>
    <row r="552">
      <c r="A552" s="58"/>
      <c r="B552" s="58"/>
      <c r="C552" s="58"/>
      <c r="D552" s="58"/>
      <c r="E552" s="58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  <c r="AA552" s="58"/>
      <c r="AB552" s="58"/>
      <c r="AC552" s="58"/>
    </row>
    <row r="553">
      <c r="A553" s="58"/>
      <c r="B553" s="58"/>
      <c r="C553" s="58"/>
      <c r="D553" s="58"/>
      <c r="E553" s="58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  <c r="AA553" s="58"/>
      <c r="AB553" s="58"/>
      <c r="AC553" s="58"/>
    </row>
    <row r="554">
      <c r="A554" s="58"/>
      <c r="B554" s="58"/>
      <c r="C554" s="58"/>
      <c r="D554" s="58"/>
      <c r="E554" s="58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  <c r="AA554" s="58"/>
      <c r="AB554" s="58"/>
      <c r="AC554" s="58"/>
    </row>
    <row r="555">
      <c r="A555" s="58"/>
      <c r="B555" s="58"/>
      <c r="C555" s="58"/>
      <c r="D555" s="58"/>
      <c r="E555" s="58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  <c r="AA555" s="58"/>
      <c r="AB555" s="58"/>
      <c r="AC555" s="58"/>
    </row>
    <row r="556">
      <c r="A556" s="58"/>
      <c r="B556" s="58"/>
      <c r="C556" s="58"/>
      <c r="D556" s="58"/>
      <c r="E556" s="58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  <c r="AA556" s="58"/>
      <c r="AB556" s="58"/>
      <c r="AC556" s="58"/>
    </row>
    <row r="557">
      <c r="A557" s="58"/>
      <c r="B557" s="58"/>
      <c r="C557" s="58"/>
      <c r="D557" s="58"/>
      <c r="E557" s="58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  <c r="AA557" s="58"/>
      <c r="AB557" s="58"/>
      <c r="AC557" s="58"/>
    </row>
    <row r="558">
      <c r="A558" s="58"/>
      <c r="B558" s="58"/>
      <c r="C558" s="58"/>
      <c r="D558" s="58"/>
      <c r="E558" s="58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  <c r="AA558" s="58"/>
      <c r="AB558" s="58"/>
      <c r="AC558" s="58"/>
    </row>
    <row r="559">
      <c r="A559" s="58"/>
      <c r="B559" s="58"/>
      <c r="C559" s="58"/>
      <c r="D559" s="58"/>
      <c r="E559" s="58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  <c r="AA559" s="58"/>
      <c r="AB559" s="58"/>
      <c r="AC559" s="58"/>
    </row>
    <row r="560">
      <c r="A560" s="58"/>
      <c r="B560" s="58"/>
      <c r="C560" s="58"/>
      <c r="D560" s="58"/>
      <c r="E560" s="58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  <c r="AA560" s="58"/>
      <c r="AB560" s="58"/>
      <c r="AC560" s="58"/>
    </row>
    <row r="561">
      <c r="A561" s="58"/>
      <c r="B561" s="58"/>
      <c r="C561" s="58"/>
      <c r="D561" s="58"/>
      <c r="E561" s="58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  <c r="AA561" s="58"/>
      <c r="AB561" s="58"/>
      <c r="AC561" s="58"/>
    </row>
    <row r="562">
      <c r="A562" s="58"/>
      <c r="B562" s="58"/>
      <c r="C562" s="58"/>
      <c r="D562" s="58"/>
      <c r="E562" s="58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  <c r="AA562" s="58"/>
      <c r="AB562" s="58"/>
      <c r="AC562" s="58"/>
    </row>
    <row r="563">
      <c r="A563" s="58"/>
      <c r="B563" s="58"/>
      <c r="C563" s="58"/>
      <c r="D563" s="58"/>
      <c r="E563" s="58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  <c r="AA563" s="58"/>
      <c r="AB563" s="58"/>
      <c r="AC563" s="58"/>
    </row>
    <row r="564">
      <c r="A564" s="58"/>
      <c r="B564" s="58"/>
      <c r="C564" s="58"/>
      <c r="D564" s="58"/>
      <c r="E564" s="58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  <c r="AA564" s="58"/>
      <c r="AB564" s="58"/>
      <c r="AC564" s="58"/>
    </row>
    <row r="565">
      <c r="A565" s="58"/>
      <c r="B565" s="58"/>
      <c r="C565" s="58"/>
      <c r="D565" s="58"/>
      <c r="E565" s="58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  <c r="AA565" s="58"/>
      <c r="AB565" s="58"/>
      <c r="AC565" s="58"/>
    </row>
    <row r="566">
      <c r="A566" s="58"/>
      <c r="B566" s="58"/>
      <c r="C566" s="58"/>
      <c r="D566" s="58"/>
      <c r="E566" s="58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  <c r="AA566" s="58"/>
      <c r="AB566" s="58"/>
      <c r="AC566" s="58"/>
    </row>
    <row r="567">
      <c r="A567" s="58"/>
      <c r="B567" s="58"/>
      <c r="C567" s="58"/>
      <c r="D567" s="58"/>
      <c r="E567" s="58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  <c r="AA567" s="58"/>
      <c r="AB567" s="58"/>
      <c r="AC567" s="58"/>
    </row>
    <row r="568">
      <c r="A568" s="58"/>
      <c r="B568" s="58"/>
      <c r="C568" s="58"/>
      <c r="D568" s="58"/>
      <c r="E568" s="58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  <c r="AA568" s="58"/>
      <c r="AB568" s="58"/>
      <c r="AC568" s="58"/>
    </row>
    <row r="569">
      <c r="A569" s="58"/>
      <c r="B569" s="58"/>
      <c r="C569" s="58"/>
      <c r="D569" s="58"/>
      <c r="E569" s="58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  <c r="AA569" s="58"/>
      <c r="AB569" s="58"/>
      <c r="AC569" s="58"/>
    </row>
    <row r="570">
      <c r="A570" s="58"/>
      <c r="B570" s="58"/>
      <c r="C570" s="58"/>
      <c r="D570" s="58"/>
      <c r="E570" s="58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  <c r="AA570" s="58"/>
      <c r="AB570" s="58"/>
      <c r="AC570" s="58"/>
    </row>
    <row r="571">
      <c r="A571" s="58"/>
      <c r="B571" s="58"/>
      <c r="C571" s="58"/>
      <c r="D571" s="58"/>
      <c r="E571" s="58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  <c r="AA571" s="58"/>
      <c r="AB571" s="58"/>
      <c r="AC571" s="58"/>
    </row>
    <row r="572">
      <c r="A572" s="58"/>
      <c r="B572" s="58"/>
      <c r="C572" s="58"/>
      <c r="D572" s="58"/>
      <c r="E572" s="58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  <c r="AA572" s="58"/>
      <c r="AB572" s="58"/>
      <c r="AC572" s="58"/>
    </row>
    <row r="573">
      <c r="A573" s="58"/>
      <c r="B573" s="58"/>
      <c r="C573" s="58"/>
      <c r="D573" s="58"/>
      <c r="E573" s="58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  <c r="AA573" s="58"/>
      <c r="AB573" s="58"/>
      <c r="AC573" s="58"/>
    </row>
    <row r="574">
      <c r="A574" s="58"/>
      <c r="B574" s="58"/>
      <c r="C574" s="58"/>
      <c r="D574" s="58"/>
      <c r="E574" s="58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  <c r="AA574" s="58"/>
      <c r="AB574" s="58"/>
      <c r="AC574" s="58"/>
    </row>
    <row r="575">
      <c r="A575" s="58"/>
      <c r="B575" s="58"/>
      <c r="C575" s="58"/>
      <c r="D575" s="58"/>
      <c r="E575" s="58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  <c r="AA575" s="58"/>
      <c r="AB575" s="58"/>
      <c r="AC575" s="58"/>
    </row>
    <row r="576">
      <c r="A576" s="58"/>
      <c r="B576" s="58"/>
      <c r="C576" s="58"/>
      <c r="D576" s="58"/>
      <c r="E576" s="58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  <c r="AA576" s="58"/>
      <c r="AB576" s="58"/>
      <c r="AC576" s="58"/>
    </row>
    <row r="577">
      <c r="A577" s="58"/>
      <c r="B577" s="58"/>
      <c r="C577" s="58"/>
      <c r="D577" s="58"/>
      <c r="E577" s="58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  <c r="AA577" s="58"/>
      <c r="AB577" s="58"/>
      <c r="AC577" s="58"/>
    </row>
    <row r="578">
      <c r="A578" s="58"/>
      <c r="B578" s="58"/>
      <c r="C578" s="58"/>
      <c r="D578" s="58"/>
      <c r="E578" s="58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  <c r="AA578" s="58"/>
      <c r="AB578" s="58"/>
      <c r="AC578" s="58"/>
    </row>
    <row r="579">
      <c r="A579" s="58"/>
      <c r="B579" s="58"/>
      <c r="C579" s="58"/>
      <c r="D579" s="58"/>
      <c r="E579" s="58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  <c r="AA579" s="58"/>
      <c r="AB579" s="58"/>
      <c r="AC579" s="58"/>
    </row>
    <row r="580">
      <c r="A580" s="58"/>
      <c r="B580" s="58"/>
      <c r="C580" s="58"/>
      <c r="D580" s="58"/>
      <c r="E580" s="58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  <c r="AA580" s="58"/>
      <c r="AB580" s="58"/>
      <c r="AC580" s="58"/>
    </row>
    <row r="581">
      <c r="A581" s="58"/>
      <c r="B581" s="58"/>
      <c r="C581" s="58"/>
      <c r="D581" s="58"/>
      <c r="E581" s="58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  <c r="AA581" s="58"/>
      <c r="AB581" s="58"/>
      <c r="AC581" s="58"/>
    </row>
    <row r="582">
      <c r="A582" s="58"/>
      <c r="B582" s="58"/>
      <c r="C582" s="58"/>
      <c r="D582" s="58"/>
      <c r="E582" s="58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  <c r="AA582" s="58"/>
      <c r="AB582" s="58"/>
      <c r="AC582" s="58"/>
    </row>
    <row r="583">
      <c r="A583" s="58"/>
      <c r="B583" s="58"/>
      <c r="C583" s="58"/>
      <c r="D583" s="58"/>
      <c r="E583" s="58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  <c r="AA583" s="58"/>
      <c r="AB583" s="58"/>
      <c r="AC583" s="58"/>
    </row>
    <row r="584">
      <c r="A584" s="58"/>
      <c r="B584" s="58"/>
      <c r="C584" s="58"/>
      <c r="D584" s="58"/>
      <c r="E584" s="58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  <c r="AA584" s="58"/>
      <c r="AB584" s="58"/>
      <c r="AC584" s="58"/>
    </row>
    <row r="585">
      <c r="A585" s="58"/>
      <c r="B585" s="58"/>
      <c r="C585" s="58"/>
      <c r="D585" s="58"/>
      <c r="E585" s="58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  <c r="AA585" s="58"/>
      <c r="AB585" s="58"/>
      <c r="AC585" s="58"/>
    </row>
    <row r="586">
      <c r="A586" s="58"/>
      <c r="B586" s="58"/>
      <c r="C586" s="58"/>
      <c r="D586" s="58"/>
      <c r="E586" s="58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  <c r="AA586" s="58"/>
      <c r="AB586" s="58"/>
      <c r="AC586" s="58"/>
    </row>
    <row r="587">
      <c r="A587" s="58"/>
      <c r="B587" s="58"/>
      <c r="C587" s="58"/>
      <c r="D587" s="58"/>
      <c r="E587" s="58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  <c r="AA587" s="58"/>
      <c r="AB587" s="58"/>
      <c r="AC587" s="58"/>
    </row>
    <row r="588">
      <c r="A588" s="58"/>
      <c r="B588" s="58"/>
      <c r="C588" s="58"/>
      <c r="D588" s="58"/>
      <c r="E588" s="58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  <c r="AA588" s="58"/>
      <c r="AB588" s="58"/>
      <c r="AC588" s="58"/>
    </row>
    <row r="589">
      <c r="A589" s="58"/>
      <c r="B589" s="58"/>
      <c r="C589" s="58"/>
      <c r="D589" s="58"/>
      <c r="E589" s="58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  <c r="AA589" s="58"/>
      <c r="AB589" s="58"/>
      <c r="AC589" s="58"/>
    </row>
    <row r="590">
      <c r="A590" s="58"/>
      <c r="B590" s="58"/>
      <c r="C590" s="58"/>
      <c r="D590" s="58"/>
      <c r="E590" s="58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  <c r="AA590" s="58"/>
      <c r="AB590" s="58"/>
      <c r="AC590" s="58"/>
    </row>
    <row r="591">
      <c r="A591" s="58"/>
      <c r="B591" s="58"/>
      <c r="C591" s="58"/>
      <c r="D591" s="58"/>
      <c r="E591" s="58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  <c r="AA591" s="58"/>
      <c r="AB591" s="58"/>
      <c r="AC591" s="58"/>
    </row>
    <row r="592">
      <c r="A592" s="58"/>
      <c r="B592" s="58"/>
      <c r="C592" s="58"/>
      <c r="D592" s="58"/>
      <c r="E592" s="58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  <c r="AA592" s="58"/>
      <c r="AB592" s="58"/>
      <c r="AC592" s="58"/>
    </row>
    <row r="593">
      <c r="A593" s="58"/>
      <c r="B593" s="58"/>
      <c r="C593" s="58"/>
      <c r="D593" s="58"/>
      <c r="E593" s="58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  <c r="AA593" s="58"/>
      <c r="AB593" s="58"/>
      <c r="AC593" s="58"/>
    </row>
    <row r="594">
      <c r="A594" s="58"/>
      <c r="B594" s="58"/>
      <c r="C594" s="58"/>
      <c r="D594" s="58"/>
      <c r="E594" s="58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  <c r="AA594" s="58"/>
      <c r="AB594" s="58"/>
      <c r="AC594" s="58"/>
    </row>
    <row r="595">
      <c r="A595" s="58"/>
      <c r="B595" s="58"/>
      <c r="C595" s="58"/>
      <c r="D595" s="58"/>
      <c r="E595" s="58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  <c r="AA595" s="58"/>
      <c r="AB595" s="58"/>
      <c r="AC595" s="58"/>
    </row>
    <row r="596">
      <c r="A596" s="58"/>
      <c r="B596" s="58"/>
      <c r="C596" s="58"/>
      <c r="D596" s="58"/>
      <c r="E596" s="58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  <c r="AA596" s="58"/>
      <c r="AB596" s="58"/>
      <c r="AC596" s="58"/>
    </row>
    <row r="597">
      <c r="A597" s="58"/>
      <c r="B597" s="58"/>
      <c r="C597" s="58"/>
      <c r="D597" s="58"/>
      <c r="E597" s="58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  <c r="AA597" s="58"/>
      <c r="AB597" s="58"/>
      <c r="AC597" s="58"/>
    </row>
    <row r="598">
      <c r="A598" s="58"/>
      <c r="B598" s="58"/>
      <c r="C598" s="58"/>
      <c r="D598" s="58"/>
      <c r="E598" s="58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  <c r="AA598" s="58"/>
      <c r="AB598" s="58"/>
      <c r="AC598" s="58"/>
    </row>
    <row r="599">
      <c r="A599" s="58"/>
      <c r="B599" s="58"/>
      <c r="C599" s="58"/>
      <c r="D599" s="58"/>
      <c r="E599" s="58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  <c r="AA599" s="58"/>
      <c r="AB599" s="58"/>
      <c r="AC599" s="58"/>
    </row>
    <row r="600">
      <c r="A600" s="58"/>
      <c r="B600" s="58"/>
      <c r="C600" s="58"/>
      <c r="D600" s="58"/>
      <c r="E600" s="58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  <c r="AA600" s="58"/>
      <c r="AB600" s="58"/>
      <c r="AC600" s="58"/>
    </row>
    <row r="601">
      <c r="A601" s="58"/>
      <c r="B601" s="58"/>
      <c r="C601" s="58"/>
      <c r="D601" s="58"/>
      <c r="E601" s="58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  <c r="AA601" s="58"/>
      <c r="AB601" s="58"/>
      <c r="AC601" s="58"/>
    </row>
    <row r="602">
      <c r="A602" s="58"/>
      <c r="B602" s="58"/>
      <c r="C602" s="58"/>
      <c r="D602" s="58"/>
      <c r="E602" s="58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  <c r="AA602" s="58"/>
      <c r="AB602" s="58"/>
      <c r="AC602" s="58"/>
    </row>
    <row r="603">
      <c r="A603" s="58"/>
      <c r="B603" s="58"/>
      <c r="C603" s="58"/>
      <c r="D603" s="58"/>
      <c r="E603" s="58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  <c r="AA603" s="58"/>
      <c r="AB603" s="58"/>
      <c r="AC603" s="58"/>
    </row>
    <row r="604">
      <c r="A604" s="58"/>
      <c r="B604" s="58"/>
      <c r="C604" s="58"/>
      <c r="D604" s="58"/>
      <c r="E604" s="58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  <c r="AA604" s="58"/>
      <c r="AB604" s="58"/>
      <c r="AC604" s="58"/>
    </row>
    <row r="605">
      <c r="A605" s="58"/>
      <c r="B605" s="58"/>
      <c r="C605" s="58"/>
      <c r="D605" s="58"/>
      <c r="E605" s="58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  <c r="AA605" s="58"/>
      <c r="AB605" s="58"/>
      <c r="AC605" s="58"/>
    </row>
    <row r="606">
      <c r="A606" s="58"/>
      <c r="B606" s="58"/>
      <c r="C606" s="58"/>
      <c r="D606" s="58"/>
      <c r="E606" s="58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  <c r="AA606" s="58"/>
      <c r="AB606" s="58"/>
      <c r="AC606" s="58"/>
    </row>
    <row r="607">
      <c r="A607" s="58"/>
      <c r="B607" s="58"/>
      <c r="C607" s="58"/>
      <c r="D607" s="58"/>
      <c r="E607" s="58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  <c r="AA607" s="58"/>
      <c r="AB607" s="58"/>
      <c r="AC607" s="58"/>
    </row>
    <row r="608">
      <c r="A608" s="58"/>
      <c r="B608" s="58"/>
      <c r="C608" s="58"/>
      <c r="D608" s="58"/>
      <c r="E608" s="58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  <c r="AA608" s="58"/>
      <c r="AB608" s="58"/>
      <c r="AC608" s="58"/>
    </row>
    <row r="609">
      <c r="A609" s="58"/>
      <c r="B609" s="58"/>
      <c r="C609" s="58"/>
      <c r="D609" s="58"/>
      <c r="E609" s="58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  <c r="AA609" s="58"/>
      <c r="AB609" s="58"/>
      <c r="AC609" s="58"/>
    </row>
    <row r="610">
      <c r="A610" s="58"/>
      <c r="B610" s="58"/>
      <c r="C610" s="58"/>
      <c r="D610" s="58"/>
      <c r="E610" s="58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  <c r="AA610" s="58"/>
      <c r="AB610" s="58"/>
      <c r="AC610" s="58"/>
    </row>
    <row r="611">
      <c r="A611" s="58"/>
      <c r="B611" s="58"/>
      <c r="C611" s="58"/>
      <c r="D611" s="58"/>
      <c r="E611" s="58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  <c r="AA611" s="58"/>
      <c r="AB611" s="58"/>
      <c r="AC611" s="58"/>
    </row>
    <row r="612">
      <c r="A612" s="58"/>
      <c r="B612" s="58"/>
      <c r="C612" s="58"/>
      <c r="D612" s="58"/>
      <c r="E612" s="58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  <c r="AA612" s="58"/>
      <c r="AB612" s="58"/>
      <c r="AC612" s="58"/>
    </row>
    <row r="613">
      <c r="A613" s="58"/>
      <c r="B613" s="58"/>
      <c r="C613" s="58"/>
      <c r="D613" s="58"/>
      <c r="E613" s="58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  <c r="AA613" s="58"/>
      <c r="AB613" s="58"/>
      <c r="AC613" s="58"/>
    </row>
    <row r="614">
      <c r="A614" s="58"/>
      <c r="B614" s="58"/>
      <c r="C614" s="58"/>
      <c r="D614" s="58"/>
      <c r="E614" s="58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  <c r="AA614" s="58"/>
      <c r="AB614" s="58"/>
      <c r="AC614" s="58"/>
    </row>
    <row r="615">
      <c r="A615" s="58"/>
      <c r="B615" s="58"/>
      <c r="C615" s="58"/>
      <c r="D615" s="58"/>
      <c r="E615" s="58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  <c r="AA615" s="58"/>
      <c r="AB615" s="58"/>
      <c r="AC615" s="58"/>
    </row>
    <row r="616">
      <c r="A616" s="58"/>
      <c r="B616" s="58"/>
      <c r="C616" s="58"/>
      <c r="D616" s="58"/>
      <c r="E616" s="58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  <c r="AA616" s="58"/>
      <c r="AB616" s="58"/>
      <c r="AC616" s="58"/>
    </row>
    <row r="617">
      <c r="A617" s="58"/>
      <c r="B617" s="58"/>
      <c r="C617" s="58"/>
      <c r="D617" s="58"/>
      <c r="E617" s="58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  <c r="AA617" s="58"/>
      <c r="AB617" s="58"/>
      <c r="AC617" s="58"/>
    </row>
    <row r="618">
      <c r="A618" s="58"/>
      <c r="B618" s="58"/>
      <c r="C618" s="58"/>
      <c r="D618" s="58"/>
      <c r="E618" s="58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  <c r="AA618" s="58"/>
      <c r="AB618" s="58"/>
      <c r="AC618" s="58"/>
    </row>
    <row r="619">
      <c r="A619" s="58"/>
      <c r="B619" s="58"/>
      <c r="C619" s="58"/>
      <c r="D619" s="58"/>
      <c r="E619" s="58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  <c r="AA619" s="58"/>
      <c r="AB619" s="58"/>
      <c r="AC619" s="58"/>
    </row>
    <row r="620">
      <c r="A620" s="58"/>
      <c r="B620" s="58"/>
      <c r="C620" s="58"/>
      <c r="D620" s="58"/>
      <c r="E620" s="58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  <c r="AA620" s="58"/>
      <c r="AB620" s="58"/>
      <c r="AC620" s="58"/>
    </row>
    <row r="621">
      <c r="A621" s="58"/>
      <c r="B621" s="58"/>
      <c r="C621" s="58"/>
      <c r="D621" s="58"/>
      <c r="E621" s="58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  <c r="AA621" s="58"/>
      <c r="AB621" s="58"/>
      <c r="AC621" s="58"/>
    </row>
    <row r="622">
      <c r="A622" s="58"/>
      <c r="B622" s="58"/>
      <c r="C622" s="58"/>
      <c r="D622" s="58"/>
      <c r="E622" s="58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  <c r="AA622" s="58"/>
      <c r="AB622" s="58"/>
      <c r="AC622" s="58"/>
    </row>
    <row r="623">
      <c r="A623" s="58"/>
      <c r="B623" s="58"/>
      <c r="C623" s="58"/>
      <c r="D623" s="58"/>
      <c r="E623" s="58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  <c r="AA623" s="58"/>
      <c r="AB623" s="58"/>
      <c r="AC623" s="58"/>
    </row>
    <row r="624">
      <c r="A624" s="58"/>
      <c r="B624" s="58"/>
      <c r="C624" s="58"/>
      <c r="D624" s="58"/>
      <c r="E624" s="58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  <c r="AA624" s="58"/>
      <c r="AB624" s="58"/>
      <c r="AC624" s="58"/>
    </row>
    <row r="625">
      <c r="A625" s="58"/>
      <c r="B625" s="58"/>
      <c r="C625" s="58"/>
      <c r="D625" s="58"/>
      <c r="E625" s="58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  <c r="AA625" s="58"/>
      <c r="AB625" s="58"/>
      <c r="AC625" s="58"/>
    </row>
    <row r="626">
      <c r="A626" s="58"/>
      <c r="B626" s="58"/>
      <c r="C626" s="58"/>
      <c r="D626" s="58"/>
      <c r="E626" s="58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  <c r="AA626" s="58"/>
      <c r="AB626" s="58"/>
      <c r="AC626" s="58"/>
    </row>
    <row r="627">
      <c r="A627" s="58"/>
      <c r="B627" s="58"/>
      <c r="C627" s="58"/>
      <c r="D627" s="58"/>
      <c r="E627" s="58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  <c r="AA627" s="58"/>
      <c r="AB627" s="58"/>
      <c r="AC627" s="58"/>
    </row>
    <row r="628">
      <c r="A628" s="58"/>
      <c r="B628" s="58"/>
      <c r="C628" s="58"/>
      <c r="D628" s="58"/>
      <c r="E628" s="58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  <c r="AA628" s="58"/>
      <c r="AB628" s="58"/>
      <c r="AC628" s="58"/>
    </row>
    <row r="629">
      <c r="A629" s="58"/>
      <c r="B629" s="58"/>
      <c r="C629" s="58"/>
      <c r="D629" s="58"/>
      <c r="E629" s="58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  <c r="AA629" s="58"/>
      <c r="AB629" s="58"/>
      <c r="AC629" s="58"/>
    </row>
    <row r="630">
      <c r="A630" s="58"/>
      <c r="B630" s="58"/>
      <c r="C630" s="58"/>
      <c r="D630" s="58"/>
      <c r="E630" s="58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  <c r="AA630" s="58"/>
      <c r="AB630" s="58"/>
      <c r="AC630" s="58"/>
    </row>
    <row r="631">
      <c r="A631" s="58"/>
      <c r="B631" s="58"/>
      <c r="C631" s="58"/>
      <c r="D631" s="58"/>
      <c r="E631" s="58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  <c r="AA631" s="58"/>
      <c r="AB631" s="58"/>
      <c r="AC631" s="58"/>
    </row>
    <row r="632">
      <c r="A632" s="58"/>
      <c r="B632" s="58"/>
      <c r="C632" s="58"/>
      <c r="D632" s="58"/>
      <c r="E632" s="58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  <c r="AA632" s="58"/>
      <c r="AB632" s="58"/>
      <c r="AC632" s="58"/>
    </row>
    <row r="633">
      <c r="A633" s="58"/>
      <c r="B633" s="58"/>
      <c r="C633" s="58"/>
      <c r="D633" s="58"/>
      <c r="E633" s="58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  <c r="AA633" s="58"/>
      <c r="AB633" s="58"/>
      <c r="AC633" s="58"/>
    </row>
    <row r="634">
      <c r="A634" s="58"/>
      <c r="B634" s="58"/>
      <c r="C634" s="58"/>
      <c r="D634" s="58"/>
      <c r="E634" s="58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  <c r="AA634" s="58"/>
      <c r="AB634" s="58"/>
      <c r="AC634" s="58"/>
    </row>
    <row r="635">
      <c r="A635" s="58"/>
      <c r="B635" s="58"/>
      <c r="C635" s="58"/>
      <c r="D635" s="58"/>
      <c r="E635" s="58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  <c r="AA635" s="58"/>
      <c r="AB635" s="58"/>
      <c r="AC635" s="58"/>
    </row>
    <row r="636">
      <c r="A636" s="58"/>
      <c r="B636" s="58"/>
      <c r="C636" s="58"/>
      <c r="D636" s="58"/>
      <c r="E636" s="58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  <c r="AA636" s="58"/>
      <c r="AB636" s="58"/>
      <c r="AC636" s="58"/>
    </row>
    <row r="637">
      <c r="A637" s="58"/>
      <c r="B637" s="58"/>
      <c r="C637" s="58"/>
      <c r="D637" s="58"/>
      <c r="E637" s="58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  <c r="AA637" s="58"/>
      <c r="AB637" s="58"/>
      <c r="AC637" s="58"/>
    </row>
    <row r="638">
      <c r="A638" s="58"/>
      <c r="B638" s="58"/>
      <c r="C638" s="58"/>
      <c r="D638" s="58"/>
      <c r="E638" s="58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  <c r="AA638" s="58"/>
      <c r="AB638" s="58"/>
      <c r="AC638" s="58"/>
    </row>
    <row r="639">
      <c r="A639" s="58"/>
      <c r="B639" s="58"/>
      <c r="C639" s="58"/>
      <c r="D639" s="58"/>
      <c r="E639" s="58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  <c r="AA639" s="58"/>
      <c r="AB639" s="58"/>
      <c r="AC639" s="58"/>
    </row>
    <row r="640">
      <c r="A640" s="58"/>
      <c r="B640" s="58"/>
      <c r="C640" s="58"/>
      <c r="D640" s="58"/>
      <c r="E640" s="58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  <c r="AA640" s="58"/>
      <c r="AB640" s="58"/>
      <c r="AC640" s="58"/>
    </row>
    <row r="641">
      <c r="A641" s="58"/>
      <c r="B641" s="58"/>
      <c r="C641" s="58"/>
      <c r="D641" s="58"/>
      <c r="E641" s="58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  <c r="AA641" s="58"/>
      <c r="AB641" s="58"/>
      <c r="AC641" s="58"/>
    </row>
    <row r="642">
      <c r="A642" s="58"/>
      <c r="B642" s="58"/>
      <c r="C642" s="58"/>
      <c r="D642" s="58"/>
      <c r="E642" s="58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  <c r="AA642" s="58"/>
      <c r="AB642" s="58"/>
      <c r="AC642" s="58"/>
    </row>
    <row r="643">
      <c r="A643" s="58"/>
      <c r="B643" s="58"/>
      <c r="C643" s="58"/>
      <c r="D643" s="58"/>
      <c r="E643" s="58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  <c r="AA643" s="58"/>
      <c r="AB643" s="58"/>
      <c r="AC643" s="58"/>
    </row>
    <row r="644">
      <c r="A644" s="58"/>
      <c r="B644" s="58"/>
      <c r="C644" s="58"/>
      <c r="D644" s="58"/>
      <c r="E644" s="58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  <c r="AA644" s="58"/>
      <c r="AB644" s="58"/>
      <c r="AC644" s="58"/>
    </row>
    <row r="645">
      <c r="A645" s="58"/>
      <c r="B645" s="58"/>
      <c r="C645" s="58"/>
      <c r="D645" s="58"/>
      <c r="E645" s="58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  <c r="AA645" s="58"/>
      <c r="AB645" s="58"/>
      <c r="AC645" s="58"/>
    </row>
    <row r="646">
      <c r="A646" s="58"/>
      <c r="B646" s="58"/>
      <c r="C646" s="58"/>
      <c r="D646" s="58"/>
      <c r="E646" s="58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  <c r="AA646" s="58"/>
      <c r="AB646" s="58"/>
      <c r="AC646" s="58"/>
    </row>
    <row r="647">
      <c r="A647" s="58"/>
      <c r="B647" s="58"/>
      <c r="C647" s="58"/>
      <c r="D647" s="58"/>
      <c r="E647" s="58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  <c r="AA647" s="58"/>
      <c r="AB647" s="58"/>
      <c r="AC647" s="58"/>
    </row>
    <row r="648">
      <c r="A648" s="58"/>
      <c r="B648" s="58"/>
      <c r="C648" s="58"/>
      <c r="D648" s="58"/>
      <c r="E648" s="58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  <c r="AA648" s="58"/>
      <c r="AB648" s="58"/>
      <c r="AC648" s="58"/>
    </row>
    <row r="649">
      <c r="A649" s="58"/>
      <c r="B649" s="58"/>
      <c r="C649" s="58"/>
      <c r="D649" s="58"/>
      <c r="E649" s="58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  <c r="AA649" s="58"/>
      <c r="AB649" s="58"/>
      <c r="AC649" s="58"/>
    </row>
    <row r="650">
      <c r="A650" s="58"/>
      <c r="B650" s="58"/>
      <c r="C650" s="58"/>
      <c r="D650" s="58"/>
      <c r="E650" s="58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  <c r="AA650" s="58"/>
      <c r="AB650" s="58"/>
      <c r="AC650" s="58"/>
    </row>
    <row r="651">
      <c r="A651" s="58"/>
      <c r="B651" s="58"/>
      <c r="C651" s="58"/>
      <c r="D651" s="58"/>
      <c r="E651" s="58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  <c r="AA651" s="58"/>
      <c r="AB651" s="58"/>
      <c r="AC651" s="58"/>
    </row>
    <row r="652">
      <c r="A652" s="58"/>
      <c r="B652" s="58"/>
      <c r="C652" s="58"/>
      <c r="D652" s="58"/>
      <c r="E652" s="58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  <c r="AA652" s="58"/>
      <c r="AB652" s="58"/>
      <c r="AC652" s="58"/>
    </row>
    <row r="653">
      <c r="A653" s="58"/>
      <c r="B653" s="58"/>
      <c r="C653" s="58"/>
      <c r="D653" s="58"/>
      <c r="E653" s="58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  <c r="AA653" s="58"/>
      <c r="AB653" s="58"/>
      <c r="AC653" s="58"/>
    </row>
    <row r="654">
      <c r="A654" s="58"/>
      <c r="B654" s="58"/>
      <c r="C654" s="58"/>
      <c r="D654" s="58"/>
      <c r="E654" s="58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  <c r="AA654" s="58"/>
      <c r="AB654" s="58"/>
      <c r="AC654" s="58"/>
    </row>
    <row r="655">
      <c r="A655" s="58"/>
      <c r="B655" s="58"/>
      <c r="C655" s="58"/>
      <c r="D655" s="58"/>
      <c r="E655" s="58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  <c r="AA655" s="58"/>
      <c r="AB655" s="58"/>
      <c r="AC655" s="58"/>
    </row>
    <row r="656">
      <c r="A656" s="58"/>
      <c r="B656" s="58"/>
      <c r="C656" s="58"/>
      <c r="D656" s="58"/>
      <c r="E656" s="58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  <c r="AA656" s="58"/>
      <c r="AB656" s="58"/>
      <c r="AC656" s="58"/>
    </row>
    <row r="657">
      <c r="A657" s="58"/>
      <c r="B657" s="58"/>
      <c r="C657" s="58"/>
      <c r="D657" s="58"/>
      <c r="E657" s="58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  <c r="AA657" s="58"/>
      <c r="AB657" s="58"/>
      <c r="AC657" s="58"/>
    </row>
    <row r="658">
      <c r="A658" s="58"/>
      <c r="B658" s="58"/>
      <c r="C658" s="58"/>
      <c r="D658" s="58"/>
      <c r="E658" s="58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  <c r="AA658" s="58"/>
      <c r="AB658" s="58"/>
      <c r="AC658" s="58"/>
    </row>
    <row r="659">
      <c r="A659" s="58"/>
      <c r="B659" s="58"/>
      <c r="C659" s="58"/>
      <c r="D659" s="58"/>
      <c r="E659" s="58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  <c r="AA659" s="58"/>
      <c r="AB659" s="58"/>
      <c r="AC659" s="58"/>
    </row>
    <row r="660">
      <c r="A660" s="58"/>
      <c r="B660" s="58"/>
      <c r="C660" s="58"/>
      <c r="D660" s="58"/>
      <c r="E660" s="58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  <c r="AA660" s="58"/>
      <c r="AB660" s="58"/>
      <c r="AC660" s="58"/>
    </row>
    <row r="661">
      <c r="A661" s="58"/>
      <c r="B661" s="58"/>
      <c r="C661" s="58"/>
      <c r="D661" s="58"/>
      <c r="E661" s="58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  <c r="AA661" s="58"/>
      <c r="AB661" s="58"/>
      <c r="AC661" s="58"/>
    </row>
    <row r="662">
      <c r="A662" s="58"/>
      <c r="B662" s="58"/>
      <c r="C662" s="58"/>
      <c r="D662" s="58"/>
      <c r="E662" s="58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  <c r="AA662" s="58"/>
      <c r="AB662" s="58"/>
      <c r="AC662" s="58"/>
    </row>
    <row r="663">
      <c r="A663" s="58"/>
      <c r="B663" s="58"/>
      <c r="C663" s="58"/>
      <c r="D663" s="58"/>
      <c r="E663" s="58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  <c r="AA663" s="58"/>
      <c r="AB663" s="58"/>
      <c r="AC663" s="58"/>
    </row>
    <row r="664">
      <c r="A664" s="58"/>
      <c r="B664" s="58"/>
      <c r="C664" s="58"/>
      <c r="D664" s="58"/>
      <c r="E664" s="58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  <c r="AA664" s="58"/>
      <c r="AB664" s="58"/>
      <c r="AC664" s="58"/>
    </row>
    <row r="665">
      <c r="A665" s="58"/>
      <c r="B665" s="58"/>
      <c r="C665" s="58"/>
      <c r="D665" s="58"/>
      <c r="E665" s="58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  <c r="AA665" s="58"/>
      <c r="AB665" s="58"/>
      <c r="AC665" s="58"/>
    </row>
    <row r="666">
      <c r="A666" s="58"/>
      <c r="B666" s="58"/>
      <c r="C666" s="58"/>
      <c r="D666" s="58"/>
      <c r="E666" s="58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  <c r="AA666" s="58"/>
      <c r="AB666" s="58"/>
      <c r="AC666" s="58"/>
    </row>
    <row r="667">
      <c r="A667" s="58"/>
      <c r="B667" s="58"/>
      <c r="C667" s="58"/>
      <c r="D667" s="58"/>
      <c r="E667" s="58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  <c r="AA667" s="58"/>
      <c r="AB667" s="58"/>
      <c r="AC667" s="58"/>
    </row>
    <row r="668">
      <c r="A668" s="58"/>
      <c r="B668" s="58"/>
      <c r="C668" s="58"/>
      <c r="D668" s="58"/>
      <c r="E668" s="58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  <c r="AA668" s="58"/>
      <c r="AB668" s="58"/>
      <c r="AC668" s="58"/>
    </row>
    <row r="669">
      <c r="A669" s="58"/>
      <c r="B669" s="58"/>
      <c r="C669" s="58"/>
      <c r="D669" s="58"/>
      <c r="E669" s="58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  <c r="AA669" s="58"/>
      <c r="AB669" s="58"/>
      <c r="AC669" s="58"/>
    </row>
    <row r="670">
      <c r="A670" s="58"/>
      <c r="B670" s="58"/>
      <c r="C670" s="58"/>
      <c r="D670" s="58"/>
      <c r="E670" s="58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  <c r="AA670" s="58"/>
      <c r="AB670" s="58"/>
      <c r="AC670" s="58"/>
    </row>
    <row r="671">
      <c r="A671" s="58"/>
      <c r="B671" s="58"/>
      <c r="C671" s="58"/>
      <c r="D671" s="58"/>
      <c r="E671" s="58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  <c r="AA671" s="58"/>
      <c r="AB671" s="58"/>
      <c r="AC671" s="58"/>
    </row>
    <row r="672">
      <c r="A672" s="58"/>
      <c r="B672" s="58"/>
      <c r="C672" s="58"/>
      <c r="D672" s="58"/>
      <c r="E672" s="58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  <c r="AA672" s="58"/>
      <c r="AB672" s="58"/>
      <c r="AC672" s="58"/>
    </row>
    <row r="673">
      <c r="A673" s="58"/>
      <c r="B673" s="58"/>
      <c r="C673" s="58"/>
      <c r="D673" s="58"/>
      <c r="E673" s="58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  <c r="AA673" s="58"/>
      <c r="AB673" s="58"/>
      <c r="AC673" s="58"/>
    </row>
    <row r="674">
      <c r="A674" s="58"/>
      <c r="B674" s="58"/>
      <c r="C674" s="58"/>
      <c r="D674" s="58"/>
      <c r="E674" s="58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  <c r="AA674" s="58"/>
      <c r="AB674" s="58"/>
      <c r="AC674" s="58"/>
    </row>
    <row r="675">
      <c r="A675" s="58"/>
      <c r="B675" s="58"/>
      <c r="C675" s="58"/>
      <c r="D675" s="58"/>
      <c r="E675" s="58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  <c r="AA675" s="58"/>
      <c r="AB675" s="58"/>
      <c r="AC675" s="58"/>
    </row>
    <row r="676">
      <c r="A676" s="58"/>
      <c r="B676" s="58"/>
      <c r="C676" s="58"/>
      <c r="D676" s="58"/>
      <c r="E676" s="58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  <c r="AA676" s="58"/>
      <c r="AB676" s="58"/>
      <c r="AC676" s="58"/>
    </row>
    <row r="677">
      <c r="A677" s="58"/>
      <c r="B677" s="58"/>
      <c r="C677" s="58"/>
      <c r="D677" s="58"/>
      <c r="E677" s="58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  <c r="AA677" s="58"/>
      <c r="AB677" s="58"/>
      <c r="AC677" s="58"/>
    </row>
    <row r="678">
      <c r="A678" s="58"/>
      <c r="B678" s="58"/>
      <c r="C678" s="58"/>
      <c r="D678" s="58"/>
      <c r="E678" s="58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  <c r="AA678" s="58"/>
      <c r="AB678" s="58"/>
      <c r="AC678" s="58"/>
    </row>
    <row r="679">
      <c r="A679" s="58"/>
      <c r="B679" s="58"/>
      <c r="C679" s="58"/>
      <c r="D679" s="58"/>
      <c r="E679" s="58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  <c r="AA679" s="58"/>
      <c r="AB679" s="58"/>
      <c r="AC679" s="58"/>
    </row>
    <row r="680">
      <c r="A680" s="58"/>
      <c r="B680" s="58"/>
      <c r="C680" s="58"/>
      <c r="D680" s="58"/>
      <c r="E680" s="58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  <c r="AA680" s="58"/>
      <c r="AB680" s="58"/>
      <c r="AC680" s="58"/>
    </row>
    <row r="681">
      <c r="A681" s="58"/>
      <c r="B681" s="58"/>
      <c r="C681" s="58"/>
      <c r="D681" s="58"/>
      <c r="E681" s="58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  <c r="AA681" s="58"/>
      <c r="AB681" s="58"/>
      <c r="AC681" s="58"/>
    </row>
    <row r="682">
      <c r="A682" s="58"/>
      <c r="B682" s="58"/>
      <c r="C682" s="58"/>
      <c r="D682" s="58"/>
      <c r="E682" s="58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  <c r="AA682" s="58"/>
      <c r="AB682" s="58"/>
      <c r="AC682" s="58"/>
    </row>
    <row r="683">
      <c r="A683" s="58"/>
      <c r="B683" s="58"/>
      <c r="C683" s="58"/>
      <c r="D683" s="58"/>
      <c r="E683" s="58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  <c r="AA683" s="58"/>
      <c r="AB683" s="58"/>
      <c r="AC683" s="58"/>
    </row>
    <row r="684">
      <c r="A684" s="58"/>
      <c r="B684" s="58"/>
      <c r="C684" s="58"/>
      <c r="D684" s="58"/>
      <c r="E684" s="58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  <c r="AA684" s="58"/>
      <c r="AB684" s="58"/>
      <c r="AC684" s="58"/>
    </row>
    <row r="685">
      <c r="A685" s="58"/>
      <c r="B685" s="58"/>
      <c r="C685" s="58"/>
      <c r="D685" s="58"/>
      <c r="E685" s="58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  <c r="AA685" s="58"/>
      <c r="AB685" s="58"/>
      <c r="AC685" s="58"/>
    </row>
    <row r="686">
      <c r="A686" s="58"/>
      <c r="B686" s="58"/>
      <c r="C686" s="58"/>
      <c r="D686" s="58"/>
      <c r="E686" s="58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  <c r="AA686" s="58"/>
      <c r="AB686" s="58"/>
      <c r="AC686" s="58"/>
    </row>
    <row r="687">
      <c r="A687" s="58"/>
      <c r="B687" s="58"/>
      <c r="C687" s="58"/>
      <c r="D687" s="58"/>
      <c r="E687" s="58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  <c r="AA687" s="58"/>
      <c r="AB687" s="58"/>
      <c r="AC687" s="58"/>
    </row>
    <row r="688">
      <c r="A688" s="58"/>
      <c r="B688" s="58"/>
      <c r="C688" s="58"/>
      <c r="D688" s="58"/>
      <c r="E688" s="58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  <c r="AA688" s="58"/>
      <c r="AB688" s="58"/>
      <c r="AC688" s="58"/>
    </row>
    <row r="689">
      <c r="A689" s="58"/>
      <c r="B689" s="58"/>
      <c r="C689" s="58"/>
      <c r="D689" s="58"/>
      <c r="E689" s="58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  <c r="AA689" s="58"/>
      <c r="AB689" s="58"/>
      <c r="AC689" s="58"/>
    </row>
    <row r="690">
      <c r="A690" s="58"/>
      <c r="B690" s="58"/>
      <c r="C690" s="58"/>
      <c r="D690" s="58"/>
      <c r="E690" s="58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  <c r="AA690" s="58"/>
      <c r="AB690" s="58"/>
      <c r="AC690" s="58"/>
    </row>
    <row r="691">
      <c r="A691" s="58"/>
      <c r="B691" s="58"/>
      <c r="C691" s="58"/>
      <c r="D691" s="58"/>
      <c r="E691" s="58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  <c r="AA691" s="58"/>
      <c r="AB691" s="58"/>
      <c r="AC691" s="58"/>
    </row>
    <row r="692">
      <c r="A692" s="58"/>
      <c r="B692" s="58"/>
      <c r="C692" s="58"/>
      <c r="D692" s="58"/>
      <c r="E692" s="58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  <c r="AA692" s="58"/>
      <c r="AB692" s="58"/>
      <c r="AC692" s="58"/>
    </row>
    <row r="693">
      <c r="A693" s="58"/>
      <c r="B693" s="58"/>
      <c r="C693" s="58"/>
      <c r="D693" s="58"/>
      <c r="E693" s="58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  <c r="AA693" s="58"/>
      <c r="AB693" s="58"/>
      <c r="AC693" s="58"/>
    </row>
    <row r="694">
      <c r="A694" s="58"/>
      <c r="B694" s="58"/>
      <c r="C694" s="58"/>
      <c r="D694" s="58"/>
      <c r="E694" s="58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  <c r="AA694" s="58"/>
      <c r="AB694" s="58"/>
      <c r="AC694" s="58"/>
    </row>
    <row r="695">
      <c r="A695" s="58"/>
      <c r="B695" s="58"/>
      <c r="C695" s="58"/>
      <c r="D695" s="58"/>
      <c r="E695" s="58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  <c r="AA695" s="58"/>
      <c r="AB695" s="58"/>
      <c r="AC695" s="58"/>
    </row>
    <row r="696">
      <c r="A696" s="58"/>
      <c r="B696" s="58"/>
      <c r="C696" s="58"/>
      <c r="D696" s="58"/>
      <c r="E696" s="58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  <c r="AA696" s="58"/>
      <c r="AB696" s="58"/>
      <c r="AC696" s="58"/>
    </row>
    <row r="697">
      <c r="A697" s="58"/>
      <c r="B697" s="58"/>
      <c r="C697" s="58"/>
      <c r="D697" s="58"/>
      <c r="E697" s="58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  <c r="AA697" s="58"/>
      <c r="AB697" s="58"/>
      <c r="AC697" s="58"/>
    </row>
    <row r="698">
      <c r="A698" s="58"/>
      <c r="B698" s="58"/>
      <c r="C698" s="58"/>
      <c r="D698" s="58"/>
      <c r="E698" s="58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  <c r="AA698" s="58"/>
      <c r="AB698" s="58"/>
      <c r="AC698" s="58"/>
    </row>
    <row r="699">
      <c r="A699" s="58"/>
      <c r="B699" s="58"/>
      <c r="C699" s="58"/>
      <c r="D699" s="58"/>
      <c r="E699" s="58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  <c r="AA699" s="58"/>
      <c r="AB699" s="58"/>
      <c r="AC699" s="58"/>
    </row>
    <row r="700">
      <c r="A700" s="58"/>
      <c r="B700" s="58"/>
      <c r="C700" s="58"/>
      <c r="D700" s="58"/>
      <c r="E700" s="58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  <c r="AA700" s="58"/>
      <c r="AB700" s="58"/>
      <c r="AC700" s="58"/>
    </row>
    <row r="701">
      <c r="A701" s="58"/>
      <c r="B701" s="58"/>
      <c r="C701" s="58"/>
      <c r="D701" s="58"/>
      <c r="E701" s="58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  <c r="AA701" s="58"/>
      <c r="AB701" s="58"/>
      <c r="AC701" s="58"/>
    </row>
    <row r="702">
      <c r="A702" s="58"/>
      <c r="B702" s="58"/>
      <c r="C702" s="58"/>
      <c r="D702" s="58"/>
      <c r="E702" s="58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  <c r="AA702" s="58"/>
      <c r="AB702" s="58"/>
      <c r="AC702" s="58"/>
    </row>
    <row r="703">
      <c r="A703" s="58"/>
      <c r="B703" s="58"/>
      <c r="C703" s="58"/>
      <c r="D703" s="58"/>
      <c r="E703" s="58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  <c r="AA703" s="58"/>
      <c r="AB703" s="58"/>
      <c r="AC703" s="58"/>
    </row>
    <row r="704">
      <c r="A704" s="58"/>
      <c r="B704" s="58"/>
      <c r="C704" s="58"/>
      <c r="D704" s="58"/>
      <c r="E704" s="58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  <c r="AA704" s="58"/>
      <c r="AB704" s="58"/>
      <c r="AC704" s="58"/>
    </row>
    <row r="705">
      <c r="A705" s="58"/>
      <c r="B705" s="58"/>
      <c r="C705" s="58"/>
      <c r="D705" s="58"/>
      <c r="E705" s="58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  <c r="AA705" s="58"/>
      <c r="AB705" s="58"/>
      <c r="AC705" s="58"/>
    </row>
    <row r="706">
      <c r="A706" s="58"/>
      <c r="B706" s="58"/>
      <c r="C706" s="58"/>
      <c r="D706" s="58"/>
      <c r="E706" s="58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  <c r="AA706" s="58"/>
      <c r="AB706" s="58"/>
      <c r="AC706" s="58"/>
    </row>
    <row r="707">
      <c r="A707" s="58"/>
      <c r="B707" s="58"/>
      <c r="C707" s="58"/>
      <c r="D707" s="58"/>
      <c r="E707" s="58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  <c r="AA707" s="58"/>
      <c r="AB707" s="58"/>
      <c r="AC707" s="58"/>
    </row>
    <row r="708">
      <c r="A708" s="58"/>
      <c r="B708" s="58"/>
      <c r="C708" s="58"/>
      <c r="D708" s="58"/>
      <c r="E708" s="58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  <c r="AA708" s="58"/>
      <c r="AB708" s="58"/>
      <c r="AC708" s="58"/>
    </row>
    <row r="709">
      <c r="A709" s="58"/>
      <c r="B709" s="58"/>
      <c r="C709" s="58"/>
      <c r="D709" s="58"/>
      <c r="E709" s="58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  <c r="AA709" s="58"/>
      <c r="AB709" s="58"/>
      <c r="AC709" s="58"/>
    </row>
    <row r="710">
      <c r="A710" s="58"/>
      <c r="B710" s="58"/>
      <c r="C710" s="58"/>
      <c r="D710" s="58"/>
      <c r="E710" s="58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  <c r="AA710" s="58"/>
      <c r="AB710" s="58"/>
      <c r="AC710" s="58"/>
    </row>
    <row r="711">
      <c r="A711" s="58"/>
      <c r="B711" s="58"/>
      <c r="C711" s="58"/>
      <c r="D711" s="58"/>
      <c r="E711" s="58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  <c r="AA711" s="58"/>
      <c r="AB711" s="58"/>
      <c r="AC711" s="58"/>
    </row>
    <row r="712">
      <c r="A712" s="58"/>
      <c r="B712" s="58"/>
      <c r="C712" s="58"/>
      <c r="D712" s="58"/>
      <c r="E712" s="58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  <c r="AA712" s="58"/>
      <c r="AB712" s="58"/>
      <c r="AC712" s="58"/>
    </row>
    <row r="713">
      <c r="A713" s="58"/>
      <c r="B713" s="58"/>
      <c r="C713" s="58"/>
      <c r="D713" s="58"/>
      <c r="E713" s="58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  <c r="AA713" s="58"/>
      <c r="AB713" s="58"/>
      <c r="AC713" s="58"/>
    </row>
    <row r="714">
      <c r="A714" s="58"/>
      <c r="B714" s="58"/>
      <c r="C714" s="58"/>
      <c r="D714" s="58"/>
      <c r="E714" s="58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  <c r="AA714" s="58"/>
      <c r="AB714" s="58"/>
      <c r="AC714" s="58"/>
    </row>
    <row r="715">
      <c r="A715" s="58"/>
      <c r="B715" s="58"/>
      <c r="C715" s="58"/>
      <c r="D715" s="58"/>
      <c r="E715" s="58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  <c r="AA715" s="58"/>
      <c r="AB715" s="58"/>
      <c r="AC715" s="58"/>
    </row>
    <row r="716">
      <c r="A716" s="58"/>
      <c r="B716" s="58"/>
      <c r="C716" s="58"/>
      <c r="D716" s="58"/>
      <c r="E716" s="58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  <c r="AA716" s="58"/>
      <c r="AB716" s="58"/>
      <c r="AC716" s="58"/>
    </row>
    <row r="717">
      <c r="A717" s="58"/>
      <c r="B717" s="58"/>
      <c r="C717" s="58"/>
      <c r="D717" s="58"/>
      <c r="E717" s="58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  <c r="AA717" s="58"/>
      <c r="AB717" s="58"/>
      <c r="AC717" s="58"/>
    </row>
    <row r="718">
      <c r="A718" s="58"/>
      <c r="B718" s="58"/>
      <c r="C718" s="58"/>
      <c r="D718" s="58"/>
      <c r="E718" s="58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  <c r="AA718" s="58"/>
      <c r="AB718" s="58"/>
      <c r="AC718" s="58"/>
    </row>
    <row r="719">
      <c r="A719" s="58"/>
      <c r="B719" s="58"/>
      <c r="C719" s="58"/>
      <c r="D719" s="58"/>
      <c r="E719" s="58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  <c r="AA719" s="58"/>
      <c r="AB719" s="58"/>
      <c r="AC719" s="58"/>
    </row>
    <row r="720">
      <c r="A720" s="58"/>
      <c r="B720" s="58"/>
      <c r="C720" s="58"/>
      <c r="D720" s="58"/>
      <c r="E720" s="58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  <c r="AA720" s="58"/>
      <c r="AB720" s="58"/>
      <c r="AC720" s="58"/>
    </row>
    <row r="721">
      <c r="A721" s="58"/>
      <c r="B721" s="58"/>
      <c r="C721" s="58"/>
      <c r="D721" s="58"/>
      <c r="E721" s="58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  <c r="AA721" s="58"/>
      <c r="AB721" s="58"/>
      <c r="AC721" s="58"/>
    </row>
    <row r="722">
      <c r="A722" s="58"/>
      <c r="B722" s="58"/>
      <c r="C722" s="58"/>
      <c r="D722" s="58"/>
      <c r="E722" s="58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  <c r="AA722" s="58"/>
      <c r="AB722" s="58"/>
      <c r="AC722" s="58"/>
    </row>
    <row r="723">
      <c r="A723" s="58"/>
      <c r="B723" s="58"/>
      <c r="C723" s="58"/>
      <c r="D723" s="58"/>
      <c r="E723" s="58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  <c r="AA723" s="58"/>
      <c r="AB723" s="58"/>
      <c r="AC723" s="58"/>
    </row>
    <row r="724">
      <c r="A724" s="58"/>
      <c r="B724" s="58"/>
      <c r="C724" s="58"/>
      <c r="D724" s="58"/>
      <c r="E724" s="58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  <c r="AA724" s="58"/>
      <c r="AB724" s="58"/>
      <c r="AC724" s="58"/>
    </row>
    <row r="725">
      <c r="A725" s="58"/>
      <c r="B725" s="58"/>
      <c r="C725" s="58"/>
      <c r="D725" s="58"/>
      <c r="E725" s="58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  <c r="AA725" s="58"/>
      <c r="AB725" s="58"/>
      <c r="AC725" s="58"/>
    </row>
    <row r="726">
      <c r="A726" s="58"/>
      <c r="B726" s="58"/>
      <c r="C726" s="58"/>
      <c r="D726" s="58"/>
      <c r="E726" s="58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  <c r="AA726" s="58"/>
      <c r="AB726" s="58"/>
      <c r="AC726" s="58"/>
    </row>
    <row r="727">
      <c r="A727" s="58"/>
      <c r="B727" s="58"/>
      <c r="C727" s="58"/>
      <c r="D727" s="58"/>
      <c r="E727" s="58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  <c r="AA727" s="58"/>
      <c r="AB727" s="58"/>
      <c r="AC727" s="58"/>
    </row>
    <row r="728">
      <c r="A728" s="58"/>
      <c r="B728" s="58"/>
      <c r="C728" s="58"/>
      <c r="D728" s="58"/>
      <c r="E728" s="58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  <c r="AA728" s="58"/>
      <c r="AB728" s="58"/>
      <c r="AC728" s="58"/>
    </row>
    <row r="729">
      <c r="A729" s="58"/>
      <c r="B729" s="58"/>
      <c r="C729" s="58"/>
      <c r="D729" s="58"/>
      <c r="E729" s="58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  <c r="AA729" s="58"/>
      <c r="AB729" s="58"/>
      <c r="AC729" s="58"/>
    </row>
    <row r="730">
      <c r="A730" s="58"/>
      <c r="B730" s="58"/>
      <c r="C730" s="58"/>
      <c r="D730" s="58"/>
      <c r="E730" s="58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  <c r="AA730" s="58"/>
      <c r="AB730" s="58"/>
      <c r="AC730" s="58"/>
    </row>
    <row r="731">
      <c r="A731" s="58"/>
      <c r="B731" s="58"/>
      <c r="C731" s="58"/>
      <c r="D731" s="58"/>
      <c r="E731" s="58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  <c r="AA731" s="58"/>
      <c r="AB731" s="58"/>
      <c r="AC731" s="58"/>
    </row>
    <row r="732">
      <c r="A732" s="58"/>
      <c r="B732" s="58"/>
      <c r="C732" s="58"/>
      <c r="D732" s="58"/>
      <c r="E732" s="58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  <c r="AA732" s="58"/>
      <c r="AB732" s="58"/>
      <c r="AC732" s="58"/>
    </row>
    <row r="733">
      <c r="A733" s="58"/>
      <c r="B733" s="58"/>
      <c r="C733" s="58"/>
      <c r="D733" s="58"/>
      <c r="E733" s="58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  <c r="AA733" s="58"/>
      <c r="AB733" s="58"/>
      <c r="AC733" s="58"/>
    </row>
    <row r="734">
      <c r="A734" s="58"/>
      <c r="B734" s="58"/>
      <c r="C734" s="58"/>
      <c r="D734" s="58"/>
      <c r="E734" s="58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  <c r="AA734" s="58"/>
      <c r="AB734" s="58"/>
      <c r="AC734" s="58"/>
    </row>
    <row r="735">
      <c r="A735" s="58"/>
      <c r="B735" s="58"/>
      <c r="C735" s="58"/>
      <c r="D735" s="58"/>
      <c r="E735" s="58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  <c r="AA735" s="58"/>
      <c r="AB735" s="58"/>
      <c r="AC735" s="58"/>
    </row>
    <row r="736">
      <c r="A736" s="58"/>
      <c r="B736" s="58"/>
      <c r="C736" s="58"/>
      <c r="D736" s="58"/>
      <c r="E736" s="58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  <c r="AA736" s="58"/>
      <c r="AB736" s="58"/>
      <c r="AC736" s="58"/>
    </row>
    <row r="737">
      <c r="A737" s="58"/>
      <c r="B737" s="58"/>
      <c r="C737" s="58"/>
      <c r="D737" s="58"/>
      <c r="E737" s="58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  <c r="AA737" s="58"/>
      <c r="AB737" s="58"/>
      <c r="AC737" s="58"/>
    </row>
    <row r="738">
      <c r="A738" s="58"/>
      <c r="B738" s="58"/>
      <c r="C738" s="58"/>
      <c r="D738" s="58"/>
      <c r="E738" s="58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  <c r="AA738" s="58"/>
      <c r="AB738" s="58"/>
      <c r="AC738" s="58"/>
    </row>
    <row r="739">
      <c r="A739" s="58"/>
      <c r="B739" s="58"/>
      <c r="C739" s="58"/>
      <c r="D739" s="58"/>
      <c r="E739" s="58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  <c r="AA739" s="58"/>
      <c r="AB739" s="58"/>
      <c r="AC739" s="58"/>
    </row>
    <row r="740">
      <c r="A740" s="58"/>
      <c r="B740" s="58"/>
      <c r="C740" s="58"/>
      <c r="D740" s="58"/>
      <c r="E740" s="58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  <c r="AA740" s="58"/>
      <c r="AB740" s="58"/>
      <c r="AC740" s="58"/>
    </row>
    <row r="741">
      <c r="A741" s="58"/>
      <c r="B741" s="58"/>
      <c r="C741" s="58"/>
      <c r="D741" s="58"/>
      <c r="E741" s="58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  <c r="AA741" s="58"/>
      <c r="AB741" s="58"/>
      <c r="AC741" s="58"/>
    </row>
    <row r="742">
      <c r="A742" s="58"/>
      <c r="B742" s="58"/>
      <c r="C742" s="58"/>
      <c r="D742" s="58"/>
      <c r="E742" s="58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  <c r="AA742" s="58"/>
      <c r="AB742" s="58"/>
      <c r="AC742" s="58"/>
    </row>
    <row r="743">
      <c r="A743" s="58"/>
      <c r="B743" s="58"/>
      <c r="C743" s="58"/>
      <c r="D743" s="58"/>
      <c r="E743" s="58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  <c r="AA743" s="58"/>
      <c r="AB743" s="58"/>
      <c r="AC743" s="58"/>
    </row>
    <row r="744">
      <c r="A744" s="58"/>
      <c r="B744" s="58"/>
      <c r="C744" s="58"/>
      <c r="D744" s="58"/>
      <c r="E744" s="58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  <c r="AA744" s="58"/>
      <c r="AB744" s="58"/>
      <c r="AC744" s="58"/>
    </row>
    <row r="745">
      <c r="A745" s="58"/>
      <c r="B745" s="58"/>
      <c r="C745" s="58"/>
      <c r="D745" s="58"/>
      <c r="E745" s="58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  <c r="AA745" s="58"/>
      <c r="AB745" s="58"/>
      <c r="AC745" s="58"/>
    </row>
    <row r="746">
      <c r="A746" s="58"/>
      <c r="B746" s="58"/>
      <c r="C746" s="58"/>
      <c r="D746" s="58"/>
      <c r="E746" s="58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  <c r="AA746" s="58"/>
      <c r="AB746" s="58"/>
      <c r="AC746" s="58"/>
    </row>
    <row r="747">
      <c r="A747" s="58"/>
      <c r="B747" s="58"/>
      <c r="C747" s="58"/>
      <c r="D747" s="58"/>
      <c r="E747" s="58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  <c r="AA747" s="58"/>
      <c r="AB747" s="58"/>
      <c r="AC747" s="58"/>
    </row>
    <row r="748">
      <c r="A748" s="58"/>
      <c r="B748" s="58"/>
      <c r="C748" s="58"/>
      <c r="D748" s="58"/>
      <c r="E748" s="58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  <c r="AA748" s="58"/>
      <c r="AB748" s="58"/>
      <c r="AC748" s="58"/>
    </row>
    <row r="749">
      <c r="A749" s="58"/>
      <c r="B749" s="58"/>
      <c r="C749" s="58"/>
      <c r="D749" s="58"/>
      <c r="E749" s="58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  <c r="AA749" s="58"/>
      <c r="AB749" s="58"/>
      <c r="AC749" s="58"/>
    </row>
    <row r="750">
      <c r="A750" s="58"/>
      <c r="B750" s="58"/>
      <c r="C750" s="58"/>
      <c r="D750" s="58"/>
      <c r="E750" s="58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  <c r="AA750" s="58"/>
      <c r="AB750" s="58"/>
      <c r="AC750" s="58"/>
    </row>
    <row r="751">
      <c r="A751" s="58"/>
      <c r="B751" s="58"/>
      <c r="C751" s="58"/>
      <c r="D751" s="58"/>
      <c r="E751" s="58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  <c r="AA751" s="58"/>
      <c r="AB751" s="58"/>
      <c r="AC751" s="58"/>
    </row>
    <row r="752">
      <c r="A752" s="58"/>
      <c r="B752" s="58"/>
      <c r="C752" s="58"/>
      <c r="D752" s="58"/>
      <c r="E752" s="58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  <c r="AA752" s="58"/>
      <c r="AB752" s="58"/>
      <c r="AC752" s="58"/>
    </row>
    <row r="753">
      <c r="A753" s="58"/>
      <c r="B753" s="58"/>
      <c r="C753" s="58"/>
      <c r="D753" s="58"/>
      <c r="E753" s="58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  <c r="AA753" s="58"/>
      <c r="AB753" s="58"/>
      <c r="AC753" s="58"/>
    </row>
    <row r="754">
      <c r="A754" s="58"/>
      <c r="B754" s="58"/>
      <c r="C754" s="58"/>
      <c r="D754" s="58"/>
      <c r="E754" s="58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  <c r="AA754" s="58"/>
      <c r="AB754" s="58"/>
      <c r="AC754" s="58"/>
    </row>
    <row r="755">
      <c r="A755" s="58"/>
      <c r="B755" s="58"/>
      <c r="C755" s="58"/>
      <c r="D755" s="58"/>
      <c r="E755" s="58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  <c r="AA755" s="58"/>
      <c r="AB755" s="58"/>
      <c r="AC755" s="58"/>
    </row>
    <row r="756">
      <c r="A756" s="58"/>
      <c r="B756" s="58"/>
      <c r="C756" s="58"/>
      <c r="D756" s="58"/>
      <c r="E756" s="58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  <c r="AA756" s="58"/>
      <c r="AB756" s="58"/>
      <c r="AC756" s="58"/>
    </row>
    <row r="757">
      <c r="A757" s="58"/>
      <c r="B757" s="58"/>
      <c r="C757" s="58"/>
      <c r="D757" s="58"/>
      <c r="E757" s="58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  <c r="AA757" s="58"/>
      <c r="AB757" s="58"/>
      <c r="AC757" s="58"/>
    </row>
    <row r="758">
      <c r="A758" s="58"/>
      <c r="B758" s="58"/>
      <c r="C758" s="58"/>
      <c r="D758" s="58"/>
      <c r="E758" s="58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  <c r="AA758" s="58"/>
      <c r="AB758" s="58"/>
      <c r="AC758" s="58"/>
    </row>
    <row r="759">
      <c r="A759" s="58"/>
      <c r="B759" s="58"/>
      <c r="C759" s="58"/>
      <c r="D759" s="58"/>
      <c r="E759" s="58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  <c r="AA759" s="58"/>
      <c r="AB759" s="58"/>
      <c r="AC759" s="58"/>
    </row>
    <row r="760">
      <c r="A760" s="58"/>
      <c r="B760" s="58"/>
      <c r="C760" s="58"/>
      <c r="D760" s="58"/>
      <c r="E760" s="58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  <c r="AA760" s="58"/>
      <c r="AB760" s="58"/>
      <c r="AC760" s="58"/>
    </row>
    <row r="761">
      <c r="A761" s="58"/>
      <c r="B761" s="58"/>
      <c r="C761" s="58"/>
      <c r="D761" s="58"/>
      <c r="E761" s="58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  <c r="AA761" s="58"/>
      <c r="AB761" s="58"/>
      <c r="AC761" s="58"/>
    </row>
    <row r="762">
      <c r="A762" s="58"/>
      <c r="B762" s="58"/>
      <c r="C762" s="58"/>
      <c r="D762" s="58"/>
      <c r="E762" s="58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  <c r="AA762" s="58"/>
      <c r="AB762" s="58"/>
      <c r="AC762" s="58"/>
    </row>
    <row r="763">
      <c r="A763" s="58"/>
      <c r="B763" s="58"/>
      <c r="C763" s="58"/>
      <c r="D763" s="58"/>
      <c r="E763" s="58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  <c r="AA763" s="58"/>
      <c r="AB763" s="58"/>
      <c r="AC763" s="58"/>
    </row>
    <row r="764">
      <c r="A764" s="58"/>
      <c r="B764" s="58"/>
      <c r="C764" s="58"/>
      <c r="D764" s="58"/>
      <c r="E764" s="58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  <c r="AA764" s="58"/>
      <c r="AB764" s="58"/>
      <c r="AC764" s="58"/>
    </row>
    <row r="765">
      <c r="A765" s="58"/>
      <c r="B765" s="58"/>
      <c r="C765" s="58"/>
      <c r="D765" s="58"/>
      <c r="E765" s="58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  <c r="AA765" s="58"/>
      <c r="AB765" s="58"/>
      <c r="AC765" s="58"/>
    </row>
    <row r="766">
      <c r="A766" s="58"/>
      <c r="B766" s="58"/>
      <c r="C766" s="58"/>
      <c r="D766" s="58"/>
      <c r="E766" s="58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  <c r="AA766" s="58"/>
      <c r="AB766" s="58"/>
      <c r="AC766" s="58"/>
    </row>
    <row r="767">
      <c r="A767" s="58"/>
      <c r="B767" s="58"/>
      <c r="C767" s="58"/>
      <c r="D767" s="58"/>
      <c r="E767" s="58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  <c r="AA767" s="58"/>
      <c r="AB767" s="58"/>
      <c r="AC767" s="58"/>
    </row>
    <row r="768">
      <c r="A768" s="58"/>
      <c r="B768" s="58"/>
      <c r="C768" s="58"/>
      <c r="D768" s="58"/>
      <c r="E768" s="58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  <c r="AA768" s="58"/>
      <c r="AB768" s="58"/>
      <c r="AC768" s="58"/>
    </row>
    <row r="769">
      <c r="A769" s="58"/>
      <c r="B769" s="58"/>
      <c r="C769" s="58"/>
      <c r="D769" s="58"/>
      <c r="E769" s="58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  <c r="AA769" s="58"/>
      <c r="AB769" s="58"/>
      <c r="AC769" s="58"/>
    </row>
    <row r="770">
      <c r="A770" s="58"/>
      <c r="B770" s="58"/>
      <c r="C770" s="58"/>
      <c r="D770" s="58"/>
      <c r="E770" s="58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  <c r="AA770" s="58"/>
      <c r="AB770" s="58"/>
      <c r="AC770" s="58"/>
    </row>
    <row r="771">
      <c r="A771" s="58"/>
      <c r="B771" s="58"/>
      <c r="C771" s="58"/>
      <c r="D771" s="58"/>
      <c r="E771" s="58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  <c r="AA771" s="58"/>
      <c r="AB771" s="58"/>
      <c r="AC771" s="58"/>
    </row>
    <row r="772">
      <c r="A772" s="58"/>
      <c r="B772" s="58"/>
      <c r="C772" s="58"/>
      <c r="D772" s="58"/>
      <c r="E772" s="58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  <c r="AA772" s="58"/>
      <c r="AB772" s="58"/>
      <c r="AC772" s="58"/>
    </row>
    <row r="773">
      <c r="A773" s="58"/>
      <c r="B773" s="58"/>
      <c r="C773" s="58"/>
      <c r="D773" s="58"/>
      <c r="E773" s="58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  <c r="AA773" s="58"/>
      <c r="AB773" s="58"/>
      <c r="AC773" s="58"/>
    </row>
    <row r="774">
      <c r="A774" s="58"/>
      <c r="B774" s="58"/>
      <c r="C774" s="58"/>
      <c r="D774" s="58"/>
      <c r="E774" s="58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  <c r="AA774" s="58"/>
      <c r="AB774" s="58"/>
      <c r="AC774" s="58"/>
    </row>
    <row r="775">
      <c r="A775" s="58"/>
      <c r="B775" s="58"/>
      <c r="C775" s="58"/>
      <c r="D775" s="58"/>
      <c r="E775" s="58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  <c r="AA775" s="58"/>
      <c r="AB775" s="58"/>
      <c r="AC775" s="58"/>
    </row>
    <row r="776">
      <c r="A776" s="58"/>
      <c r="B776" s="58"/>
      <c r="C776" s="58"/>
      <c r="D776" s="58"/>
      <c r="E776" s="58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  <c r="AA776" s="58"/>
      <c r="AB776" s="58"/>
      <c r="AC776" s="58"/>
    </row>
    <row r="777">
      <c r="A777" s="58"/>
      <c r="B777" s="58"/>
      <c r="C777" s="58"/>
      <c r="D777" s="58"/>
      <c r="E777" s="58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  <c r="AA777" s="58"/>
      <c r="AB777" s="58"/>
      <c r="AC777" s="58"/>
    </row>
    <row r="778">
      <c r="A778" s="58"/>
      <c r="B778" s="58"/>
      <c r="C778" s="58"/>
      <c r="D778" s="58"/>
      <c r="E778" s="58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  <c r="AA778" s="58"/>
      <c r="AB778" s="58"/>
      <c r="AC778" s="58"/>
    </row>
    <row r="779">
      <c r="A779" s="58"/>
      <c r="B779" s="58"/>
      <c r="C779" s="58"/>
      <c r="D779" s="58"/>
      <c r="E779" s="58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  <c r="AA779" s="58"/>
      <c r="AB779" s="58"/>
      <c r="AC779" s="58"/>
    </row>
    <row r="780">
      <c r="A780" s="58"/>
      <c r="B780" s="58"/>
      <c r="C780" s="58"/>
      <c r="D780" s="58"/>
      <c r="E780" s="58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  <c r="AA780" s="58"/>
      <c r="AB780" s="58"/>
      <c r="AC780" s="58"/>
    </row>
    <row r="781">
      <c r="A781" s="58"/>
      <c r="B781" s="58"/>
      <c r="C781" s="58"/>
      <c r="D781" s="58"/>
      <c r="E781" s="58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  <c r="AA781" s="58"/>
      <c r="AB781" s="58"/>
      <c r="AC781" s="58"/>
    </row>
    <row r="782">
      <c r="A782" s="58"/>
      <c r="B782" s="58"/>
      <c r="C782" s="58"/>
      <c r="D782" s="58"/>
      <c r="E782" s="58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  <c r="AA782" s="58"/>
      <c r="AB782" s="58"/>
      <c r="AC782" s="58"/>
    </row>
    <row r="783">
      <c r="A783" s="58"/>
      <c r="B783" s="58"/>
      <c r="C783" s="58"/>
      <c r="D783" s="58"/>
      <c r="E783" s="58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  <c r="AA783" s="58"/>
      <c r="AB783" s="58"/>
      <c r="AC783" s="58"/>
    </row>
    <row r="784">
      <c r="A784" s="58"/>
      <c r="B784" s="58"/>
      <c r="C784" s="58"/>
      <c r="D784" s="58"/>
      <c r="E784" s="58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  <c r="AA784" s="58"/>
      <c r="AB784" s="58"/>
      <c r="AC784" s="58"/>
    </row>
    <row r="785">
      <c r="A785" s="58"/>
      <c r="B785" s="58"/>
      <c r="C785" s="58"/>
      <c r="D785" s="58"/>
      <c r="E785" s="58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  <c r="AA785" s="58"/>
      <c r="AB785" s="58"/>
      <c r="AC785" s="58"/>
    </row>
    <row r="786">
      <c r="A786" s="58"/>
      <c r="B786" s="58"/>
      <c r="C786" s="58"/>
      <c r="D786" s="58"/>
      <c r="E786" s="58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  <c r="AA786" s="58"/>
      <c r="AB786" s="58"/>
      <c r="AC786" s="58"/>
    </row>
    <row r="787">
      <c r="A787" s="58"/>
      <c r="B787" s="58"/>
      <c r="C787" s="58"/>
      <c r="D787" s="58"/>
      <c r="E787" s="58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  <c r="AA787" s="58"/>
      <c r="AB787" s="58"/>
      <c r="AC787" s="58"/>
    </row>
    <row r="788">
      <c r="A788" s="58"/>
      <c r="B788" s="58"/>
      <c r="C788" s="58"/>
      <c r="D788" s="58"/>
      <c r="E788" s="58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  <c r="AA788" s="58"/>
      <c r="AB788" s="58"/>
      <c r="AC788" s="58"/>
    </row>
    <row r="789">
      <c r="A789" s="58"/>
      <c r="B789" s="58"/>
      <c r="C789" s="58"/>
      <c r="D789" s="58"/>
      <c r="E789" s="58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  <c r="AA789" s="58"/>
      <c r="AB789" s="58"/>
      <c r="AC789" s="58"/>
    </row>
    <row r="790">
      <c r="A790" s="58"/>
      <c r="B790" s="58"/>
      <c r="C790" s="58"/>
      <c r="D790" s="58"/>
      <c r="E790" s="58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  <c r="AA790" s="58"/>
      <c r="AB790" s="58"/>
      <c r="AC790" s="58"/>
    </row>
    <row r="791">
      <c r="A791" s="58"/>
      <c r="B791" s="58"/>
      <c r="C791" s="58"/>
      <c r="D791" s="58"/>
      <c r="E791" s="58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  <c r="AA791" s="58"/>
      <c r="AB791" s="58"/>
      <c r="AC791" s="58"/>
    </row>
    <row r="792">
      <c r="A792" s="58"/>
      <c r="B792" s="58"/>
      <c r="C792" s="58"/>
      <c r="D792" s="58"/>
      <c r="E792" s="58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  <c r="AA792" s="58"/>
      <c r="AB792" s="58"/>
      <c r="AC792" s="58"/>
    </row>
    <row r="793">
      <c r="A793" s="58"/>
      <c r="B793" s="58"/>
      <c r="C793" s="58"/>
      <c r="D793" s="58"/>
      <c r="E793" s="58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  <c r="AA793" s="58"/>
      <c r="AB793" s="58"/>
      <c r="AC793" s="58"/>
    </row>
    <row r="794">
      <c r="A794" s="58"/>
      <c r="B794" s="58"/>
      <c r="C794" s="58"/>
      <c r="D794" s="58"/>
      <c r="E794" s="58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  <c r="AA794" s="58"/>
      <c r="AB794" s="58"/>
      <c r="AC794" s="58"/>
    </row>
    <row r="795">
      <c r="A795" s="58"/>
      <c r="B795" s="58"/>
      <c r="C795" s="58"/>
      <c r="D795" s="58"/>
      <c r="E795" s="58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  <c r="AA795" s="58"/>
      <c r="AB795" s="58"/>
      <c r="AC795" s="58"/>
    </row>
    <row r="796">
      <c r="A796" s="58"/>
      <c r="B796" s="58"/>
      <c r="C796" s="58"/>
      <c r="D796" s="58"/>
      <c r="E796" s="58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  <c r="AA796" s="58"/>
      <c r="AB796" s="58"/>
      <c r="AC796" s="58"/>
    </row>
    <row r="797">
      <c r="A797" s="58"/>
      <c r="B797" s="58"/>
      <c r="C797" s="58"/>
      <c r="D797" s="58"/>
      <c r="E797" s="58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  <c r="AA797" s="58"/>
      <c r="AB797" s="58"/>
      <c r="AC797" s="58"/>
    </row>
    <row r="798">
      <c r="A798" s="58"/>
      <c r="B798" s="58"/>
      <c r="C798" s="58"/>
      <c r="D798" s="58"/>
      <c r="E798" s="58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  <c r="AA798" s="58"/>
      <c r="AB798" s="58"/>
      <c r="AC798" s="58"/>
    </row>
    <row r="799">
      <c r="A799" s="58"/>
      <c r="B799" s="58"/>
      <c r="C799" s="58"/>
      <c r="D799" s="58"/>
      <c r="E799" s="58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  <c r="AA799" s="58"/>
      <c r="AB799" s="58"/>
      <c r="AC799" s="58"/>
    </row>
    <row r="800">
      <c r="A800" s="58"/>
      <c r="B800" s="58"/>
      <c r="C800" s="58"/>
      <c r="D800" s="58"/>
      <c r="E800" s="58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  <c r="AA800" s="58"/>
      <c r="AB800" s="58"/>
      <c r="AC800" s="58"/>
    </row>
    <row r="801">
      <c r="A801" s="58"/>
      <c r="B801" s="58"/>
      <c r="C801" s="58"/>
      <c r="D801" s="58"/>
      <c r="E801" s="58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  <c r="AA801" s="58"/>
      <c r="AB801" s="58"/>
      <c r="AC801" s="58"/>
    </row>
    <row r="802">
      <c r="A802" s="58"/>
      <c r="B802" s="58"/>
      <c r="C802" s="58"/>
      <c r="D802" s="58"/>
      <c r="E802" s="58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  <c r="AA802" s="58"/>
      <c r="AB802" s="58"/>
      <c r="AC802" s="58"/>
    </row>
    <row r="803">
      <c r="A803" s="58"/>
      <c r="B803" s="58"/>
      <c r="C803" s="58"/>
      <c r="D803" s="58"/>
      <c r="E803" s="58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  <c r="AA803" s="58"/>
      <c r="AB803" s="58"/>
      <c r="AC803" s="58"/>
    </row>
    <row r="804">
      <c r="A804" s="58"/>
      <c r="B804" s="58"/>
      <c r="C804" s="58"/>
      <c r="D804" s="58"/>
      <c r="E804" s="58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  <c r="AA804" s="58"/>
      <c r="AB804" s="58"/>
      <c r="AC804" s="58"/>
    </row>
    <row r="805">
      <c r="A805" s="58"/>
      <c r="B805" s="58"/>
      <c r="C805" s="58"/>
      <c r="D805" s="58"/>
      <c r="E805" s="58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  <c r="AA805" s="58"/>
      <c r="AB805" s="58"/>
      <c r="AC805" s="58"/>
    </row>
    <row r="806">
      <c r="A806" s="58"/>
      <c r="B806" s="58"/>
      <c r="C806" s="58"/>
      <c r="D806" s="58"/>
      <c r="E806" s="58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  <c r="AA806" s="58"/>
      <c r="AB806" s="58"/>
      <c r="AC806" s="58"/>
    </row>
    <row r="807">
      <c r="A807" s="58"/>
      <c r="B807" s="58"/>
      <c r="C807" s="58"/>
      <c r="D807" s="58"/>
      <c r="E807" s="58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  <c r="AA807" s="58"/>
      <c r="AB807" s="58"/>
      <c r="AC807" s="58"/>
    </row>
    <row r="808">
      <c r="A808" s="58"/>
      <c r="B808" s="58"/>
      <c r="C808" s="58"/>
      <c r="D808" s="58"/>
      <c r="E808" s="58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  <c r="AA808" s="58"/>
      <c r="AB808" s="58"/>
      <c r="AC808" s="58"/>
    </row>
    <row r="809">
      <c r="A809" s="58"/>
      <c r="B809" s="58"/>
      <c r="C809" s="58"/>
      <c r="D809" s="58"/>
      <c r="E809" s="58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  <c r="AA809" s="58"/>
      <c r="AB809" s="58"/>
      <c r="AC809" s="58"/>
    </row>
    <row r="810">
      <c r="A810" s="58"/>
      <c r="B810" s="58"/>
      <c r="C810" s="58"/>
      <c r="D810" s="58"/>
      <c r="E810" s="58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  <c r="AA810" s="58"/>
      <c r="AB810" s="58"/>
      <c r="AC810" s="58"/>
    </row>
    <row r="811">
      <c r="A811" s="58"/>
      <c r="B811" s="58"/>
      <c r="C811" s="58"/>
      <c r="D811" s="58"/>
      <c r="E811" s="58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  <c r="AA811" s="58"/>
      <c r="AB811" s="58"/>
      <c r="AC811" s="58"/>
    </row>
    <row r="812">
      <c r="A812" s="58"/>
      <c r="B812" s="58"/>
      <c r="C812" s="58"/>
      <c r="D812" s="58"/>
      <c r="E812" s="58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  <c r="AA812" s="58"/>
      <c r="AB812" s="58"/>
      <c r="AC812" s="58"/>
    </row>
    <row r="813">
      <c r="A813" s="58"/>
      <c r="B813" s="58"/>
      <c r="C813" s="58"/>
      <c r="D813" s="58"/>
      <c r="E813" s="58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  <c r="AA813" s="58"/>
      <c r="AB813" s="58"/>
      <c r="AC813" s="58"/>
    </row>
    <row r="814">
      <c r="A814" s="58"/>
      <c r="B814" s="58"/>
      <c r="C814" s="58"/>
      <c r="D814" s="58"/>
      <c r="E814" s="58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  <c r="AA814" s="58"/>
      <c r="AB814" s="58"/>
      <c r="AC814" s="58"/>
    </row>
    <row r="815">
      <c r="A815" s="58"/>
      <c r="B815" s="58"/>
      <c r="C815" s="58"/>
      <c r="D815" s="58"/>
      <c r="E815" s="58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  <c r="AA815" s="58"/>
      <c r="AB815" s="58"/>
      <c r="AC815" s="58"/>
    </row>
    <row r="816">
      <c r="A816" s="58"/>
      <c r="B816" s="58"/>
      <c r="C816" s="58"/>
      <c r="D816" s="58"/>
      <c r="E816" s="58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  <c r="AA816" s="58"/>
      <c r="AB816" s="58"/>
      <c r="AC816" s="58"/>
    </row>
    <row r="817">
      <c r="A817" s="58"/>
      <c r="B817" s="58"/>
      <c r="C817" s="58"/>
      <c r="D817" s="58"/>
      <c r="E817" s="58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  <c r="AA817" s="58"/>
      <c r="AB817" s="58"/>
      <c r="AC817" s="58"/>
    </row>
    <row r="818">
      <c r="A818" s="58"/>
      <c r="B818" s="58"/>
      <c r="C818" s="58"/>
      <c r="D818" s="58"/>
      <c r="E818" s="58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  <c r="AA818" s="58"/>
      <c r="AB818" s="58"/>
      <c r="AC818" s="58"/>
    </row>
    <row r="819">
      <c r="A819" s="58"/>
      <c r="B819" s="58"/>
      <c r="C819" s="58"/>
      <c r="D819" s="58"/>
      <c r="E819" s="58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  <c r="AA819" s="58"/>
      <c r="AB819" s="58"/>
      <c r="AC819" s="58"/>
    </row>
    <row r="820">
      <c r="A820" s="58"/>
      <c r="B820" s="58"/>
      <c r="C820" s="58"/>
      <c r="D820" s="58"/>
      <c r="E820" s="58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  <c r="AA820" s="58"/>
      <c r="AB820" s="58"/>
      <c r="AC820" s="58"/>
    </row>
    <row r="821">
      <c r="A821" s="58"/>
      <c r="B821" s="58"/>
      <c r="C821" s="58"/>
      <c r="D821" s="58"/>
      <c r="E821" s="58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  <c r="AA821" s="58"/>
      <c r="AB821" s="58"/>
      <c r="AC821" s="58"/>
    </row>
    <row r="822">
      <c r="A822" s="58"/>
      <c r="B822" s="58"/>
      <c r="C822" s="58"/>
      <c r="D822" s="58"/>
      <c r="E822" s="58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  <c r="AA822" s="58"/>
      <c r="AB822" s="58"/>
      <c r="AC822" s="58"/>
    </row>
    <row r="823">
      <c r="A823" s="58"/>
      <c r="B823" s="58"/>
      <c r="C823" s="58"/>
      <c r="D823" s="58"/>
      <c r="E823" s="58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  <c r="AA823" s="58"/>
      <c r="AB823" s="58"/>
      <c r="AC823" s="58"/>
    </row>
    <row r="824">
      <c r="A824" s="58"/>
      <c r="B824" s="58"/>
      <c r="C824" s="58"/>
      <c r="D824" s="58"/>
      <c r="E824" s="58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  <c r="AA824" s="58"/>
      <c r="AB824" s="58"/>
      <c r="AC824" s="58"/>
    </row>
    <row r="825">
      <c r="A825" s="58"/>
      <c r="B825" s="58"/>
      <c r="C825" s="58"/>
      <c r="D825" s="58"/>
      <c r="E825" s="58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  <c r="AA825" s="58"/>
      <c r="AB825" s="58"/>
      <c r="AC825" s="58"/>
    </row>
    <row r="826">
      <c r="A826" s="58"/>
      <c r="B826" s="58"/>
      <c r="C826" s="58"/>
      <c r="D826" s="58"/>
      <c r="E826" s="58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  <c r="AA826" s="58"/>
      <c r="AB826" s="58"/>
      <c r="AC826" s="58"/>
    </row>
    <row r="827">
      <c r="A827" s="58"/>
      <c r="B827" s="58"/>
      <c r="C827" s="58"/>
      <c r="D827" s="58"/>
      <c r="E827" s="58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  <c r="AA827" s="58"/>
      <c r="AB827" s="58"/>
      <c r="AC827" s="58"/>
    </row>
    <row r="828">
      <c r="A828" s="58"/>
      <c r="B828" s="58"/>
      <c r="C828" s="58"/>
      <c r="D828" s="58"/>
      <c r="E828" s="58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  <c r="AA828" s="58"/>
      <c r="AB828" s="58"/>
      <c r="AC828" s="58"/>
    </row>
    <row r="829">
      <c r="A829" s="58"/>
      <c r="B829" s="58"/>
      <c r="C829" s="58"/>
      <c r="D829" s="58"/>
      <c r="E829" s="58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  <c r="AA829" s="58"/>
      <c r="AB829" s="58"/>
      <c r="AC829" s="58"/>
    </row>
    <row r="830">
      <c r="A830" s="58"/>
      <c r="B830" s="58"/>
      <c r="C830" s="58"/>
      <c r="D830" s="58"/>
      <c r="E830" s="58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  <c r="AA830" s="58"/>
      <c r="AB830" s="58"/>
      <c r="AC830" s="58"/>
    </row>
    <row r="831">
      <c r="A831" s="58"/>
      <c r="B831" s="58"/>
      <c r="C831" s="58"/>
      <c r="D831" s="58"/>
      <c r="E831" s="58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  <c r="AA831" s="58"/>
      <c r="AB831" s="58"/>
      <c r="AC831" s="58"/>
    </row>
    <row r="832">
      <c r="A832" s="58"/>
      <c r="B832" s="58"/>
      <c r="C832" s="58"/>
      <c r="D832" s="58"/>
      <c r="E832" s="58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  <c r="AA832" s="58"/>
      <c r="AB832" s="58"/>
      <c r="AC832" s="58"/>
    </row>
    <row r="833">
      <c r="A833" s="58"/>
      <c r="B833" s="58"/>
      <c r="C833" s="58"/>
      <c r="D833" s="58"/>
      <c r="E833" s="58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  <c r="AA833" s="58"/>
      <c r="AB833" s="58"/>
      <c r="AC833" s="58"/>
    </row>
    <row r="834">
      <c r="A834" s="58"/>
      <c r="B834" s="58"/>
      <c r="C834" s="58"/>
      <c r="D834" s="58"/>
      <c r="E834" s="58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  <c r="AA834" s="58"/>
      <c r="AB834" s="58"/>
      <c r="AC834" s="58"/>
    </row>
    <row r="835">
      <c r="A835" s="58"/>
      <c r="B835" s="58"/>
      <c r="C835" s="58"/>
      <c r="D835" s="58"/>
      <c r="E835" s="58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  <c r="AA835" s="58"/>
      <c r="AB835" s="58"/>
      <c r="AC835" s="58"/>
    </row>
    <row r="836">
      <c r="A836" s="58"/>
      <c r="B836" s="58"/>
      <c r="C836" s="58"/>
      <c r="D836" s="58"/>
      <c r="E836" s="58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  <c r="AA836" s="58"/>
      <c r="AB836" s="58"/>
      <c r="AC836" s="58"/>
    </row>
    <row r="837">
      <c r="A837" s="58"/>
      <c r="B837" s="58"/>
      <c r="C837" s="58"/>
      <c r="D837" s="58"/>
      <c r="E837" s="58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  <c r="AA837" s="58"/>
      <c r="AB837" s="58"/>
      <c r="AC837" s="58"/>
    </row>
    <row r="838">
      <c r="A838" s="58"/>
      <c r="B838" s="58"/>
      <c r="C838" s="58"/>
      <c r="D838" s="58"/>
      <c r="E838" s="58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  <c r="AA838" s="58"/>
      <c r="AB838" s="58"/>
      <c r="AC838" s="58"/>
    </row>
    <row r="839">
      <c r="A839" s="58"/>
      <c r="B839" s="58"/>
      <c r="C839" s="58"/>
      <c r="D839" s="58"/>
      <c r="E839" s="58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  <c r="AA839" s="58"/>
      <c r="AB839" s="58"/>
      <c r="AC839" s="58"/>
    </row>
    <row r="840">
      <c r="A840" s="58"/>
      <c r="B840" s="58"/>
      <c r="C840" s="58"/>
      <c r="D840" s="58"/>
      <c r="E840" s="58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  <c r="AA840" s="58"/>
      <c r="AB840" s="58"/>
      <c r="AC840" s="58"/>
    </row>
    <row r="841">
      <c r="A841" s="58"/>
      <c r="B841" s="58"/>
      <c r="C841" s="58"/>
      <c r="D841" s="58"/>
      <c r="E841" s="58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  <c r="AA841" s="58"/>
      <c r="AB841" s="58"/>
      <c r="AC841" s="58"/>
    </row>
    <row r="842">
      <c r="A842" s="58"/>
      <c r="B842" s="58"/>
      <c r="C842" s="58"/>
      <c r="D842" s="58"/>
      <c r="E842" s="58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  <c r="AA842" s="58"/>
      <c r="AB842" s="58"/>
      <c r="AC842" s="58"/>
    </row>
    <row r="843">
      <c r="A843" s="58"/>
      <c r="B843" s="58"/>
      <c r="C843" s="58"/>
      <c r="D843" s="58"/>
      <c r="E843" s="58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  <c r="AA843" s="58"/>
      <c r="AB843" s="58"/>
      <c r="AC843" s="58"/>
    </row>
    <row r="844">
      <c r="A844" s="58"/>
      <c r="B844" s="58"/>
      <c r="C844" s="58"/>
      <c r="D844" s="58"/>
      <c r="E844" s="58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  <c r="AA844" s="58"/>
      <c r="AB844" s="58"/>
      <c r="AC844" s="58"/>
    </row>
    <row r="845">
      <c r="A845" s="58"/>
      <c r="B845" s="58"/>
      <c r="C845" s="58"/>
      <c r="D845" s="58"/>
      <c r="E845" s="58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  <c r="AA845" s="58"/>
      <c r="AB845" s="58"/>
      <c r="AC845" s="58"/>
    </row>
    <row r="846">
      <c r="A846" s="58"/>
      <c r="B846" s="58"/>
      <c r="C846" s="58"/>
      <c r="D846" s="58"/>
      <c r="E846" s="58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  <c r="AA846" s="58"/>
      <c r="AB846" s="58"/>
      <c r="AC846" s="58"/>
    </row>
    <row r="847">
      <c r="A847" s="58"/>
      <c r="B847" s="58"/>
      <c r="C847" s="58"/>
      <c r="D847" s="58"/>
      <c r="E847" s="58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  <c r="AA847" s="58"/>
      <c r="AB847" s="58"/>
      <c r="AC847" s="58"/>
    </row>
    <row r="848">
      <c r="A848" s="58"/>
      <c r="B848" s="58"/>
      <c r="C848" s="58"/>
      <c r="D848" s="58"/>
      <c r="E848" s="58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  <c r="AA848" s="58"/>
      <c r="AB848" s="58"/>
      <c r="AC848" s="58"/>
    </row>
    <row r="849">
      <c r="A849" s="58"/>
      <c r="B849" s="58"/>
      <c r="C849" s="58"/>
      <c r="D849" s="58"/>
      <c r="E849" s="58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  <c r="AA849" s="58"/>
      <c r="AB849" s="58"/>
      <c r="AC849" s="58"/>
    </row>
    <row r="850">
      <c r="A850" s="58"/>
      <c r="B850" s="58"/>
      <c r="C850" s="58"/>
      <c r="D850" s="58"/>
      <c r="E850" s="58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  <c r="AA850" s="58"/>
      <c r="AB850" s="58"/>
      <c r="AC850" s="58"/>
    </row>
    <row r="851">
      <c r="A851" s="58"/>
      <c r="B851" s="58"/>
      <c r="C851" s="58"/>
      <c r="D851" s="58"/>
      <c r="E851" s="58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  <c r="AA851" s="58"/>
      <c r="AB851" s="58"/>
      <c r="AC851" s="58"/>
    </row>
    <row r="852">
      <c r="A852" s="58"/>
      <c r="B852" s="58"/>
      <c r="C852" s="58"/>
      <c r="D852" s="58"/>
      <c r="E852" s="58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  <c r="AA852" s="58"/>
      <c r="AB852" s="58"/>
      <c r="AC852" s="58"/>
    </row>
    <row r="853">
      <c r="A853" s="58"/>
      <c r="B853" s="58"/>
      <c r="C853" s="58"/>
      <c r="D853" s="58"/>
      <c r="E853" s="58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  <c r="AA853" s="58"/>
      <c r="AB853" s="58"/>
      <c r="AC853" s="58"/>
    </row>
    <row r="854">
      <c r="A854" s="58"/>
      <c r="B854" s="58"/>
      <c r="C854" s="58"/>
      <c r="D854" s="58"/>
      <c r="E854" s="58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  <c r="AA854" s="58"/>
      <c r="AB854" s="58"/>
      <c r="AC854" s="58"/>
    </row>
    <row r="855">
      <c r="A855" s="58"/>
      <c r="B855" s="58"/>
      <c r="C855" s="58"/>
      <c r="D855" s="58"/>
      <c r="E855" s="58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  <c r="AA855" s="58"/>
      <c r="AB855" s="58"/>
      <c r="AC855" s="58"/>
    </row>
    <row r="856">
      <c r="A856" s="58"/>
      <c r="B856" s="58"/>
      <c r="C856" s="58"/>
      <c r="D856" s="58"/>
      <c r="E856" s="58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  <c r="AA856" s="58"/>
      <c r="AB856" s="58"/>
      <c r="AC856" s="58"/>
    </row>
    <row r="857">
      <c r="A857" s="58"/>
      <c r="B857" s="58"/>
      <c r="C857" s="58"/>
      <c r="D857" s="58"/>
      <c r="E857" s="58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  <c r="AA857" s="58"/>
      <c r="AB857" s="58"/>
      <c r="AC857" s="58"/>
    </row>
    <row r="858">
      <c r="A858" s="58"/>
      <c r="B858" s="58"/>
      <c r="C858" s="58"/>
      <c r="D858" s="58"/>
      <c r="E858" s="58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  <c r="AA858" s="58"/>
      <c r="AB858" s="58"/>
      <c r="AC858" s="58"/>
    </row>
    <row r="859">
      <c r="A859" s="58"/>
      <c r="B859" s="58"/>
      <c r="C859" s="58"/>
      <c r="D859" s="58"/>
      <c r="E859" s="58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  <c r="AA859" s="58"/>
      <c r="AB859" s="58"/>
      <c r="AC859" s="58"/>
    </row>
    <row r="860">
      <c r="A860" s="58"/>
      <c r="B860" s="58"/>
      <c r="C860" s="58"/>
      <c r="D860" s="58"/>
      <c r="E860" s="58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  <c r="AA860" s="58"/>
      <c r="AB860" s="58"/>
      <c r="AC860" s="58"/>
    </row>
    <row r="861">
      <c r="A861" s="58"/>
      <c r="B861" s="58"/>
      <c r="C861" s="58"/>
      <c r="D861" s="58"/>
      <c r="E861" s="58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  <c r="AA861" s="58"/>
      <c r="AB861" s="58"/>
      <c r="AC861" s="58"/>
    </row>
    <row r="862">
      <c r="A862" s="58"/>
      <c r="B862" s="58"/>
      <c r="C862" s="58"/>
      <c r="D862" s="58"/>
      <c r="E862" s="58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  <c r="AA862" s="58"/>
      <c r="AB862" s="58"/>
      <c r="AC862" s="58"/>
    </row>
    <row r="863">
      <c r="A863" s="58"/>
      <c r="B863" s="58"/>
      <c r="C863" s="58"/>
      <c r="D863" s="58"/>
      <c r="E863" s="58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  <c r="AA863" s="58"/>
      <c r="AB863" s="58"/>
      <c r="AC863" s="58"/>
    </row>
    <row r="864">
      <c r="A864" s="58"/>
      <c r="B864" s="58"/>
      <c r="C864" s="58"/>
      <c r="D864" s="58"/>
      <c r="E864" s="58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  <c r="AA864" s="58"/>
      <c r="AB864" s="58"/>
      <c r="AC864" s="58"/>
    </row>
    <row r="865">
      <c r="A865" s="58"/>
      <c r="B865" s="58"/>
      <c r="C865" s="58"/>
      <c r="D865" s="58"/>
      <c r="E865" s="58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  <c r="AA865" s="58"/>
      <c r="AB865" s="58"/>
      <c r="AC865" s="58"/>
    </row>
    <row r="866">
      <c r="A866" s="58"/>
      <c r="B866" s="58"/>
      <c r="C866" s="58"/>
      <c r="D866" s="58"/>
      <c r="E866" s="58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  <c r="AA866" s="58"/>
      <c r="AB866" s="58"/>
      <c r="AC866" s="58"/>
    </row>
    <row r="867">
      <c r="A867" s="58"/>
      <c r="B867" s="58"/>
      <c r="C867" s="58"/>
      <c r="D867" s="58"/>
      <c r="E867" s="58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  <c r="AA867" s="58"/>
      <c r="AB867" s="58"/>
      <c r="AC867" s="58"/>
    </row>
    <row r="868">
      <c r="A868" s="58"/>
      <c r="B868" s="58"/>
      <c r="C868" s="58"/>
      <c r="D868" s="58"/>
      <c r="E868" s="58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  <c r="AA868" s="58"/>
      <c r="AB868" s="58"/>
      <c r="AC868" s="58"/>
    </row>
    <row r="869">
      <c r="A869" s="58"/>
      <c r="B869" s="58"/>
      <c r="C869" s="58"/>
      <c r="D869" s="58"/>
      <c r="E869" s="58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  <c r="AA869" s="58"/>
      <c r="AB869" s="58"/>
      <c r="AC869" s="58"/>
    </row>
    <row r="870">
      <c r="A870" s="58"/>
      <c r="B870" s="58"/>
      <c r="C870" s="58"/>
      <c r="D870" s="58"/>
      <c r="E870" s="58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  <c r="AA870" s="58"/>
      <c r="AB870" s="58"/>
      <c r="AC870" s="58"/>
    </row>
    <row r="871">
      <c r="A871" s="58"/>
      <c r="B871" s="58"/>
      <c r="C871" s="58"/>
      <c r="D871" s="58"/>
      <c r="E871" s="58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  <c r="AA871" s="58"/>
      <c r="AB871" s="58"/>
      <c r="AC871" s="58"/>
    </row>
    <row r="872">
      <c r="A872" s="58"/>
      <c r="B872" s="58"/>
      <c r="C872" s="58"/>
      <c r="D872" s="58"/>
      <c r="E872" s="58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  <c r="AA872" s="58"/>
      <c r="AB872" s="58"/>
      <c r="AC872" s="58"/>
    </row>
    <row r="873">
      <c r="A873" s="58"/>
      <c r="B873" s="58"/>
      <c r="C873" s="58"/>
      <c r="D873" s="58"/>
      <c r="E873" s="58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  <c r="AA873" s="58"/>
      <c r="AB873" s="58"/>
      <c r="AC873" s="58"/>
    </row>
    <row r="874">
      <c r="A874" s="58"/>
      <c r="B874" s="58"/>
      <c r="C874" s="58"/>
      <c r="D874" s="58"/>
      <c r="E874" s="58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  <c r="AA874" s="58"/>
      <c r="AB874" s="58"/>
      <c r="AC874" s="58"/>
    </row>
    <row r="875">
      <c r="A875" s="58"/>
      <c r="B875" s="58"/>
      <c r="C875" s="58"/>
      <c r="D875" s="58"/>
      <c r="E875" s="58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  <c r="AA875" s="58"/>
      <c r="AB875" s="58"/>
      <c r="AC875" s="58"/>
    </row>
    <row r="876">
      <c r="A876" s="58"/>
      <c r="B876" s="58"/>
      <c r="C876" s="58"/>
      <c r="D876" s="58"/>
      <c r="E876" s="58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  <c r="AA876" s="58"/>
      <c r="AB876" s="58"/>
      <c r="AC876" s="58"/>
    </row>
    <row r="877">
      <c r="A877" s="58"/>
      <c r="B877" s="58"/>
      <c r="C877" s="58"/>
      <c r="D877" s="58"/>
      <c r="E877" s="58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  <c r="AA877" s="58"/>
      <c r="AB877" s="58"/>
      <c r="AC877" s="58"/>
    </row>
    <row r="878">
      <c r="A878" s="58"/>
      <c r="B878" s="58"/>
      <c r="C878" s="58"/>
      <c r="D878" s="58"/>
      <c r="E878" s="58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  <c r="AA878" s="58"/>
      <c r="AB878" s="58"/>
      <c r="AC878" s="58"/>
    </row>
    <row r="879">
      <c r="A879" s="58"/>
      <c r="B879" s="58"/>
      <c r="C879" s="58"/>
      <c r="D879" s="58"/>
      <c r="E879" s="58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  <c r="AA879" s="58"/>
      <c r="AB879" s="58"/>
      <c r="AC879" s="58"/>
    </row>
    <row r="880">
      <c r="A880" s="58"/>
      <c r="B880" s="58"/>
      <c r="C880" s="58"/>
      <c r="D880" s="58"/>
      <c r="E880" s="58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  <c r="AA880" s="58"/>
      <c r="AB880" s="58"/>
      <c r="AC880" s="58"/>
    </row>
    <row r="881">
      <c r="A881" s="58"/>
      <c r="B881" s="58"/>
      <c r="C881" s="58"/>
      <c r="D881" s="58"/>
      <c r="E881" s="58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  <c r="AA881" s="58"/>
      <c r="AB881" s="58"/>
      <c r="AC881" s="58"/>
    </row>
    <row r="882">
      <c r="A882" s="58"/>
      <c r="B882" s="58"/>
      <c r="C882" s="58"/>
      <c r="D882" s="58"/>
      <c r="E882" s="58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  <c r="AA882" s="58"/>
      <c r="AB882" s="58"/>
      <c r="AC882" s="58"/>
    </row>
    <row r="883">
      <c r="A883" s="58"/>
      <c r="B883" s="58"/>
      <c r="C883" s="58"/>
      <c r="D883" s="58"/>
      <c r="E883" s="58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  <c r="AA883" s="58"/>
      <c r="AB883" s="58"/>
      <c r="AC883" s="58"/>
    </row>
    <row r="884">
      <c r="A884" s="58"/>
      <c r="B884" s="58"/>
      <c r="C884" s="58"/>
      <c r="D884" s="58"/>
      <c r="E884" s="58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  <c r="AA884" s="58"/>
      <c r="AB884" s="58"/>
      <c r="AC884" s="58"/>
    </row>
    <row r="885">
      <c r="A885" s="58"/>
      <c r="B885" s="58"/>
      <c r="C885" s="58"/>
      <c r="D885" s="58"/>
      <c r="E885" s="58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  <c r="AA885" s="58"/>
      <c r="AB885" s="58"/>
      <c r="AC885" s="58"/>
    </row>
    <row r="886">
      <c r="A886" s="58"/>
      <c r="B886" s="58"/>
      <c r="C886" s="58"/>
      <c r="D886" s="58"/>
      <c r="E886" s="58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  <c r="AA886" s="58"/>
      <c r="AB886" s="58"/>
      <c r="AC886" s="58"/>
    </row>
    <row r="887">
      <c r="A887" s="58"/>
      <c r="B887" s="58"/>
      <c r="C887" s="58"/>
      <c r="D887" s="58"/>
      <c r="E887" s="58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  <c r="AA887" s="58"/>
      <c r="AB887" s="58"/>
      <c r="AC887" s="58"/>
    </row>
    <row r="888">
      <c r="A888" s="58"/>
      <c r="B888" s="58"/>
      <c r="C888" s="58"/>
      <c r="D888" s="58"/>
      <c r="E888" s="58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  <c r="AA888" s="58"/>
      <c r="AB888" s="58"/>
      <c r="AC888" s="58"/>
    </row>
    <row r="889">
      <c r="A889" s="58"/>
      <c r="B889" s="58"/>
      <c r="C889" s="58"/>
      <c r="D889" s="58"/>
      <c r="E889" s="58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  <c r="AA889" s="58"/>
      <c r="AB889" s="58"/>
      <c r="AC889" s="58"/>
    </row>
    <row r="890">
      <c r="A890" s="58"/>
      <c r="B890" s="58"/>
      <c r="C890" s="58"/>
      <c r="D890" s="58"/>
      <c r="E890" s="58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  <c r="AA890" s="58"/>
      <c r="AB890" s="58"/>
      <c r="AC890" s="58"/>
    </row>
    <row r="891">
      <c r="A891" s="58"/>
      <c r="B891" s="58"/>
      <c r="C891" s="58"/>
      <c r="D891" s="58"/>
      <c r="E891" s="58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  <c r="AA891" s="58"/>
      <c r="AB891" s="58"/>
      <c r="AC891" s="58"/>
    </row>
    <row r="892">
      <c r="A892" s="58"/>
      <c r="B892" s="58"/>
      <c r="C892" s="58"/>
      <c r="D892" s="58"/>
      <c r="E892" s="58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  <c r="AA892" s="58"/>
      <c r="AB892" s="58"/>
      <c r="AC892" s="58"/>
    </row>
    <row r="893">
      <c r="A893" s="58"/>
      <c r="B893" s="58"/>
      <c r="C893" s="58"/>
      <c r="D893" s="58"/>
      <c r="E893" s="58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  <c r="AA893" s="58"/>
      <c r="AB893" s="58"/>
      <c r="AC893" s="58"/>
    </row>
    <row r="894">
      <c r="A894" s="58"/>
      <c r="B894" s="58"/>
      <c r="C894" s="58"/>
      <c r="D894" s="58"/>
      <c r="E894" s="58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  <c r="AA894" s="58"/>
      <c r="AB894" s="58"/>
      <c r="AC894" s="58"/>
    </row>
    <row r="895">
      <c r="A895" s="58"/>
      <c r="B895" s="58"/>
      <c r="C895" s="58"/>
      <c r="D895" s="58"/>
      <c r="E895" s="58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  <c r="AA895" s="58"/>
      <c r="AB895" s="58"/>
      <c r="AC895" s="58"/>
    </row>
    <row r="896">
      <c r="A896" s="58"/>
      <c r="B896" s="58"/>
      <c r="C896" s="58"/>
      <c r="D896" s="58"/>
      <c r="E896" s="58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  <c r="AA896" s="58"/>
      <c r="AB896" s="58"/>
      <c r="AC896" s="58"/>
    </row>
    <row r="897">
      <c r="A897" s="58"/>
      <c r="B897" s="58"/>
      <c r="C897" s="58"/>
      <c r="D897" s="58"/>
      <c r="E897" s="58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  <c r="AA897" s="58"/>
      <c r="AB897" s="58"/>
      <c r="AC897" s="58"/>
    </row>
    <row r="898">
      <c r="A898" s="58"/>
      <c r="B898" s="58"/>
      <c r="C898" s="58"/>
      <c r="D898" s="58"/>
      <c r="E898" s="58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  <c r="AA898" s="58"/>
      <c r="AB898" s="58"/>
      <c r="AC898" s="58"/>
    </row>
    <row r="899">
      <c r="A899" s="58"/>
      <c r="B899" s="58"/>
      <c r="C899" s="58"/>
      <c r="D899" s="58"/>
      <c r="E899" s="58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  <c r="AA899" s="58"/>
      <c r="AB899" s="58"/>
      <c r="AC899" s="58"/>
    </row>
    <row r="900">
      <c r="A900" s="58"/>
      <c r="B900" s="58"/>
      <c r="C900" s="58"/>
      <c r="D900" s="58"/>
      <c r="E900" s="58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  <c r="AA900" s="58"/>
      <c r="AB900" s="58"/>
      <c r="AC900" s="58"/>
    </row>
    <row r="901">
      <c r="A901" s="58"/>
      <c r="B901" s="58"/>
      <c r="C901" s="58"/>
      <c r="D901" s="58"/>
      <c r="E901" s="58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  <c r="AA901" s="58"/>
      <c r="AB901" s="58"/>
      <c r="AC901" s="58"/>
    </row>
    <row r="902">
      <c r="A902" s="58"/>
      <c r="B902" s="58"/>
      <c r="C902" s="58"/>
      <c r="D902" s="58"/>
      <c r="E902" s="58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  <c r="AA902" s="58"/>
      <c r="AB902" s="58"/>
      <c r="AC902" s="58"/>
    </row>
    <row r="903">
      <c r="A903" s="58"/>
      <c r="B903" s="58"/>
      <c r="C903" s="58"/>
      <c r="D903" s="58"/>
      <c r="E903" s="58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  <c r="AA903" s="58"/>
      <c r="AB903" s="58"/>
      <c r="AC903" s="58"/>
    </row>
    <row r="904">
      <c r="A904" s="58"/>
      <c r="B904" s="58"/>
      <c r="C904" s="58"/>
      <c r="D904" s="58"/>
      <c r="E904" s="58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  <c r="AA904" s="58"/>
      <c r="AB904" s="58"/>
      <c r="AC904" s="58"/>
    </row>
    <row r="905">
      <c r="A905" s="58"/>
      <c r="B905" s="58"/>
      <c r="C905" s="58"/>
      <c r="D905" s="58"/>
      <c r="E905" s="58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  <c r="AA905" s="58"/>
      <c r="AB905" s="58"/>
      <c r="AC905" s="58"/>
    </row>
    <row r="906">
      <c r="A906" s="58"/>
      <c r="B906" s="58"/>
      <c r="C906" s="58"/>
      <c r="D906" s="58"/>
      <c r="E906" s="58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  <c r="AA906" s="58"/>
      <c r="AB906" s="58"/>
      <c r="AC906" s="58"/>
    </row>
    <row r="907">
      <c r="A907" s="58"/>
      <c r="B907" s="58"/>
      <c r="C907" s="58"/>
      <c r="D907" s="58"/>
      <c r="E907" s="58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  <c r="AA907" s="58"/>
      <c r="AB907" s="58"/>
      <c r="AC907" s="58"/>
    </row>
    <row r="908">
      <c r="A908" s="58"/>
      <c r="B908" s="58"/>
      <c r="C908" s="58"/>
      <c r="D908" s="58"/>
      <c r="E908" s="58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  <c r="AA908" s="58"/>
      <c r="AB908" s="58"/>
      <c r="AC908" s="58"/>
    </row>
    <row r="909">
      <c r="A909" s="58"/>
      <c r="B909" s="58"/>
      <c r="C909" s="58"/>
      <c r="D909" s="58"/>
      <c r="E909" s="58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  <c r="AA909" s="58"/>
      <c r="AB909" s="58"/>
      <c r="AC909" s="58"/>
    </row>
    <row r="910">
      <c r="A910" s="58"/>
      <c r="B910" s="58"/>
      <c r="C910" s="58"/>
      <c r="D910" s="58"/>
      <c r="E910" s="58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  <c r="AA910" s="58"/>
      <c r="AB910" s="58"/>
      <c r="AC910" s="58"/>
    </row>
    <row r="911">
      <c r="A911" s="58"/>
      <c r="B911" s="58"/>
      <c r="C911" s="58"/>
      <c r="D911" s="58"/>
      <c r="E911" s="58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  <c r="AA911" s="58"/>
      <c r="AB911" s="58"/>
      <c r="AC911" s="58"/>
    </row>
    <row r="912">
      <c r="A912" s="58"/>
      <c r="B912" s="58"/>
      <c r="C912" s="58"/>
      <c r="D912" s="58"/>
      <c r="E912" s="58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  <c r="AA912" s="58"/>
      <c r="AB912" s="58"/>
      <c r="AC912" s="58"/>
    </row>
    <row r="913">
      <c r="A913" s="58"/>
      <c r="B913" s="58"/>
      <c r="C913" s="58"/>
      <c r="D913" s="58"/>
      <c r="E913" s="58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  <c r="AA913" s="58"/>
      <c r="AB913" s="58"/>
      <c r="AC913" s="58"/>
    </row>
    <row r="914">
      <c r="A914" s="58"/>
      <c r="B914" s="58"/>
      <c r="C914" s="58"/>
      <c r="D914" s="58"/>
      <c r="E914" s="58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  <c r="AA914" s="58"/>
      <c r="AB914" s="58"/>
      <c r="AC914" s="58"/>
    </row>
    <row r="915">
      <c r="A915" s="58"/>
      <c r="B915" s="58"/>
      <c r="C915" s="58"/>
      <c r="D915" s="58"/>
      <c r="E915" s="58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  <c r="AA915" s="58"/>
      <c r="AB915" s="58"/>
      <c r="AC915" s="58"/>
    </row>
    <row r="916">
      <c r="A916" s="58"/>
      <c r="B916" s="58"/>
      <c r="C916" s="58"/>
      <c r="D916" s="58"/>
      <c r="E916" s="58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  <c r="AA916" s="58"/>
      <c r="AB916" s="58"/>
      <c r="AC916" s="58"/>
    </row>
    <row r="917">
      <c r="A917" s="58"/>
      <c r="B917" s="58"/>
      <c r="C917" s="58"/>
      <c r="D917" s="58"/>
      <c r="E917" s="58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  <c r="AA917" s="58"/>
      <c r="AB917" s="58"/>
      <c r="AC917" s="58"/>
    </row>
    <row r="918">
      <c r="A918" s="58"/>
      <c r="B918" s="58"/>
      <c r="C918" s="58"/>
      <c r="D918" s="58"/>
      <c r="E918" s="58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  <c r="AA918" s="58"/>
      <c r="AB918" s="58"/>
      <c r="AC918" s="58"/>
    </row>
    <row r="919">
      <c r="A919" s="58"/>
      <c r="B919" s="58"/>
      <c r="C919" s="58"/>
      <c r="D919" s="58"/>
      <c r="E919" s="58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  <c r="AA919" s="58"/>
      <c r="AB919" s="58"/>
      <c r="AC919" s="58"/>
    </row>
    <row r="920">
      <c r="A920" s="58"/>
      <c r="B920" s="58"/>
      <c r="C920" s="58"/>
      <c r="D920" s="58"/>
      <c r="E920" s="58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  <c r="AA920" s="58"/>
      <c r="AB920" s="58"/>
      <c r="AC920" s="58"/>
    </row>
    <row r="921">
      <c r="A921" s="58"/>
      <c r="B921" s="58"/>
      <c r="C921" s="58"/>
      <c r="D921" s="58"/>
      <c r="E921" s="58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  <c r="AA921" s="58"/>
      <c r="AB921" s="58"/>
      <c r="AC921" s="58"/>
    </row>
    <row r="922">
      <c r="A922" s="58"/>
      <c r="B922" s="58"/>
      <c r="C922" s="58"/>
      <c r="D922" s="58"/>
      <c r="E922" s="58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  <c r="AA922" s="58"/>
      <c r="AB922" s="58"/>
      <c r="AC922" s="58"/>
    </row>
    <row r="923">
      <c r="A923" s="58"/>
      <c r="B923" s="58"/>
      <c r="C923" s="58"/>
      <c r="D923" s="58"/>
      <c r="E923" s="58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  <c r="AA923" s="58"/>
      <c r="AB923" s="58"/>
      <c r="AC923" s="58"/>
    </row>
    <row r="924">
      <c r="A924" s="58"/>
      <c r="B924" s="58"/>
      <c r="C924" s="58"/>
      <c r="D924" s="58"/>
      <c r="E924" s="58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  <c r="AA924" s="58"/>
      <c r="AB924" s="58"/>
      <c r="AC924" s="58"/>
    </row>
    <row r="925">
      <c r="A925" s="58"/>
      <c r="B925" s="58"/>
      <c r="C925" s="58"/>
      <c r="D925" s="58"/>
      <c r="E925" s="58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  <c r="AA925" s="58"/>
      <c r="AB925" s="58"/>
      <c r="AC925" s="58"/>
    </row>
    <row r="926">
      <c r="A926" s="58"/>
      <c r="B926" s="58"/>
      <c r="C926" s="58"/>
      <c r="D926" s="58"/>
      <c r="E926" s="58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  <c r="AA926" s="58"/>
      <c r="AB926" s="58"/>
      <c r="AC926" s="58"/>
    </row>
    <row r="927">
      <c r="A927" s="58"/>
      <c r="B927" s="58"/>
      <c r="C927" s="58"/>
      <c r="D927" s="58"/>
      <c r="E927" s="58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  <c r="AA927" s="58"/>
      <c r="AB927" s="58"/>
      <c r="AC927" s="58"/>
    </row>
    <row r="928">
      <c r="A928" s="58"/>
      <c r="B928" s="58"/>
      <c r="C928" s="58"/>
      <c r="D928" s="58"/>
      <c r="E928" s="58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  <c r="AA928" s="58"/>
      <c r="AB928" s="58"/>
      <c r="AC928" s="58"/>
    </row>
    <row r="929">
      <c r="A929" s="58"/>
      <c r="B929" s="58"/>
      <c r="C929" s="58"/>
      <c r="D929" s="58"/>
      <c r="E929" s="58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  <c r="AA929" s="58"/>
      <c r="AB929" s="58"/>
      <c r="AC929" s="58"/>
    </row>
    <row r="930">
      <c r="A930" s="58"/>
      <c r="B930" s="58"/>
      <c r="C930" s="58"/>
      <c r="D930" s="58"/>
      <c r="E930" s="58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  <c r="AA930" s="58"/>
      <c r="AB930" s="58"/>
      <c r="AC930" s="58"/>
    </row>
    <row r="931">
      <c r="A931" s="58"/>
      <c r="B931" s="58"/>
      <c r="C931" s="58"/>
      <c r="D931" s="58"/>
      <c r="E931" s="58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  <c r="AA931" s="58"/>
      <c r="AB931" s="58"/>
      <c r="AC931" s="58"/>
    </row>
    <row r="932">
      <c r="A932" s="58"/>
      <c r="B932" s="58"/>
      <c r="C932" s="58"/>
      <c r="D932" s="58"/>
      <c r="E932" s="58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  <c r="AA932" s="58"/>
      <c r="AB932" s="58"/>
      <c r="AC932" s="58"/>
    </row>
    <row r="933">
      <c r="A933" s="58"/>
      <c r="B933" s="58"/>
      <c r="C933" s="58"/>
      <c r="D933" s="58"/>
      <c r="E933" s="58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  <c r="AA933" s="58"/>
      <c r="AB933" s="58"/>
      <c r="AC933" s="58"/>
    </row>
    <row r="934">
      <c r="A934" s="58"/>
      <c r="B934" s="58"/>
      <c r="C934" s="58"/>
      <c r="D934" s="58"/>
      <c r="E934" s="58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  <c r="AA934" s="58"/>
      <c r="AB934" s="58"/>
      <c r="AC934" s="58"/>
    </row>
    <row r="935">
      <c r="A935" s="58"/>
      <c r="B935" s="58"/>
      <c r="C935" s="58"/>
      <c r="D935" s="58"/>
      <c r="E935" s="58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  <c r="AA935" s="58"/>
      <c r="AB935" s="58"/>
      <c r="AC935" s="58"/>
    </row>
    <row r="936">
      <c r="A936" s="58"/>
      <c r="B936" s="58"/>
      <c r="C936" s="58"/>
      <c r="D936" s="58"/>
      <c r="E936" s="58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  <c r="AA936" s="58"/>
      <c r="AB936" s="58"/>
      <c r="AC936" s="58"/>
    </row>
    <row r="937">
      <c r="A937" s="58"/>
      <c r="B937" s="58"/>
      <c r="C937" s="58"/>
      <c r="D937" s="58"/>
      <c r="E937" s="58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  <c r="AA937" s="58"/>
      <c r="AB937" s="58"/>
      <c r="AC937" s="58"/>
    </row>
    <row r="938">
      <c r="A938" s="58"/>
      <c r="B938" s="58"/>
      <c r="C938" s="58"/>
      <c r="D938" s="58"/>
      <c r="E938" s="58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  <c r="AA938" s="58"/>
      <c r="AB938" s="58"/>
      <c r="AC938" s="58"/>
    </row>
    <row r="939">
      <c r="A939" s="58"/>
      <c r="B939" s="58"/>
      <c r="C939" s="58"/>
      <c r="D939" s="58"/>
      <c r="E939" s="58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  <c r="AA939" s="58"/>
      <c r="AB939" s="58"/>
      <c r="AC939" s="58"/>
    </row>
    <row r="940">
      <c r="A940" s="58"/>
      <c r="B940" s="58"/>
      <c r="C940" s="58"/>
      <c r="D940" s="58"/>
      <c r="E940" s="58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  <c r="AA940" s="58"/>
      <c r="AB940" s="58"/>
      <c r="AC940" s="58"/>
    </row>
    <row r="941">
      <c r="A941" s="58"/>
      <c r="B941" s="58"/>
      <c r="C941" s="58"/>
      <c r="D941" s="58"/>
      <c r="E941" s="58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  <c r="AA941" s="58"/>
      <c r="AB941" s="58"/>
      <c r="AC941" s="58"/>
    </row>
    <row r="942">
      <c r="A942" s="58"/>
      <c r="B942" s="58"/>
      <c r="C942" s="58"/>
      <c r="D942" s="58"/>
      <c r="E942" s="58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  <c r="AA942" s="58"/>
      <c r="AB942" s="58"/>
      <c r="AC942" s="58"/>
    </row>
    <row r="943">
      <c r="A943" s="58"/>
      <c r="B943" s="58"/>
      <c r="C943" s="58"/>
      <c r="D943" s="58"/>
      <c r="E943" s="58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  <c r="AA943" s="58"/>
      <c r="AB943" s="58"/>
      <c r="AC943" s="58"/>
    </row>
    <row r="944">
      <c r="A944" s="58"/>
      <c r="B944" s="58"/>
      <c r="C944" s="58"/>
      <c r="D944" s="58"/>
      <c r="E944" s="58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  <c r="AA944" s="58"/>
      <c r="AB944" s="58"/>
      <c r="AC944" s="58"/>
    </row>
    <row r="945">
      <c r="A945" s="58"/>
      <c r="B945" s="58"/>
      <c r="C945" s="58"/>
      <c r="D945" s="58"/>
      <c r="E945" s="58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  <c r="AA945" s="58"/>
      <c r="AB945" s="58"/>
      <c r="AC945" s="58"/>
    </row>
    <row r="946">
      <c r="A946" s="58"/>
      <c r="B946" s="58"/>
      <c r="C946" s="58"/>
      <c r="D946" s="58"/>
      <c r="E946" s="58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  <c r="AA946" s="58"/>
      <c r="AB946" s="58"/>
      <c r="AC946" s="58"/>
    </row>
    <row r="947">
      <c r="A947" s="58"/>
      <c r="B947" s="58"/>
      <c r="C947" s="58"/>
      <c r="D947" s="58"/>
      <c r="E947" s="58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  <c r="AA947" s="58"/>
      <c r="AB947" s="58"/>
      <c r="AC947" s="58"/>
    </row>
    <row r="948">
      <c r="A948" s="58"/>
      <c r="B948" s="58"/>
      <c r="C948" s="58"/>
      <c r="D948" s="58"/>
      <c r="E948" s="58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  <c r="AA948" s="58"/>
      <c r="AB948" s="58"/>
      <c r="AC948" s="58"/>
    </row>
    <row r="949">
      <c r="A949" s="58"/>
      <c r="B949" s="58"/>
      <c r="C949" s="58"/>
      <c r="D949" s="58"/>
      <c r="E949" s="58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  <c r="AA949" s="58"/>
      <c r="AB949" s="58"/>
      <c r="AC949" s="58"/>
    </row>
    <row r="950">
      <c r="A950" s="58"/>
      <c r="B950" s="58"/>
      <c r="C950" s="58"/>
      <c r="D950" s="58"/>
      <c r="E950" s="58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  <c r="AA950" s="58"/>
      <c r="AB950" s="58"/>
      <c r="AC950" s="58"/>
    </row>
    <row r="951">
      <c r="A951" s="58"/>
      <c r="B951" s="58"/>
      <c r="C951" s="58"/>
      <c r="D951" s="58"/>
      <c r="E951" s="58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  <c r="AA951" s="58"/>
      <c r="AB951" s="58"/>
      <c r="AC951" s="58"/>
    </row>
    <row r="952">
      <c r="A952" s="58"/>
      <c r="B952" s="58"/>
      <c r="C952" s="58"/>
      <c r="D952" s="58"/>
      <c r="E952" s="58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  <c r="AA952" s="58"/>
      <c r="AB952" s="58"/>
      <c r="AC952" s="58"/>
    </row>
    <row r="953">
      <c r="A953" s="58"/>
      <c r="B953" s="58"/>
      <c r="C953" s="58"/>
      <c r="D953" s="58"/>
      <c r="E953" s="58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  <c r="AA953" s="58"/>
      <c r="AB953" s="58"/>
      <c r="AC953" s="58"/>
    </row>
    <row r="954">
      <c r="A954" s="58"/>
      <c r="B954" s="58"/>
      <c r="C954" s="58"/>
      <c r="D954" s="58"/>
      <c r="E954" s="58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  <c r="AA954" s="58"/>
      <c r="AB954" s="58"/>
      <c r="AC954" s="58"/>
    </row>
    <row r="955">
      <c r="A955" s="58"/>
      <c r="B955" s="58"/>
      <c r="C955" s="58"/>
      <c r="D955" s="58"/>
      <c r="E955" s="58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  <c r="AA955" s="58"/>
      <c r="AB955" s="58"/>
      <c r="AC955" s="58"/>
    </row>
    <row r="956">
      <c r="A956" s="58"/>
      <c r="B956" s="58"/>
      <c r="C956" s="58"/>
      <c r="D956" s="58"/>
      <c r="E956" s="58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  <c r="AA956" s="58"/>
      <c r="AB956" s="58"/>
      <c r="AC956" s="58"/>
    </row>
    <row r="957">
      <c r="A957" s="58"/>
      <c r="B957" s="58"/>
      <c r="C957" s="58"/>
      <c r="D957" s="58"/>
      <c r="E957" s="58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  <c r="AA957" s="58"/>
      <c r="AB957" s="58"/>
      <c r="AC957" s="58"/>
    </row>
    <row r="958">
      <c r="A958" s="58"/>
      <c r="B958" s="58"/>
      <c r="C958" s="58"/>
      <c r="D958" s="58"/>
      <c r="E958" s="58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  <c r="AA958" s="58"/>
      <c r="AB958" s="58"/>
      <c r="AC958" s="58"/>
    </row>
    <row r="959">
      <c r="A959" s="58"/>
      <c r="B959" s="58"/>
      <c r="C959" s="58"/>
      <c r="D959" s="58"/>
      <c r="E959" s="58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  <c r="AA959" s="58"/>
      <c r="AB959" s="58"/>
      <c r="AC959" s="58"/>
    </row>
    <row r="960">
      <c r="A960" s="58"/>
      <c r="B960" s="58"/>
      <c r="C960" s="58"/>
      <c r="D960" s="58"/>
      <c r="E960" s="58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  <c r="AA960" s="58"/>
      <c r="AB960" s="58"/>
      <c r="AC960" s="58"/>
    </row>
    <row r="961">
      <c r="A961" s="58"/>
      <c r="B961" s="58"/>
      <c r="C961" s="58"/>
      <c r="D961" s="58"/>
      <c r="E961" s="58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  <c r="AA961" s="58"/>
      <c r="AB961" s="58"/>
      <c r="AC961" s="58"/>
    </row>
    <row r="962">
      <c r="A962" s="58"/>
      <c r="B962" s="58"/>
      <c r="C962" s="58"/>
      <c r="D962" s="58"/>
      <c r="E962" s="58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  <c r="AA962" s="58"/>
      <c r="AB962" s="58"/>
      <c r="AC962" s="58"/>
    </row>
    <row r="963">
      <c r="A963" s="58"/>
      <c r="B963" s="58"/>
      <c r="C963" s="58"/>
      <c r="D963" s="58"/>
      <c r="E963" s="58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  <c r="AA963" s="58"/>
      <c r="AB963" s="58"/>
      <c r="AC963" s="58"/>
    </row>
    <row r="964">
      <c r="A964" s="58"/>
      <c r="B964" s="58"/>
      <c r="C964" s="58"/>
      <c r="D964" s="58"/>
      <c r="E964" s="58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  <c r="AA964" s="58"/>
      <c r="AB964" s="58"/>
      <c r="AC964" s="58"/>
    </row>
    <row r="965">
      <c r="A965" s="58"/>
      <c r="B965" s="58"/>
      <c r="C965" s="58"/>
      <c r="D965" s="58"/>
      <c r="E965" s="58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  <c r="AA965" s="58"/>
      <c r="AB965" s="58"/>
      <c r="AC965" s="58"/>
    </row>
    <row r="966">
      <c r="A966" s="58"/>
      <c r="B966" s="58"/>
      <c r="C966" s="58"/>
      <c r="D966" s="58"/>
      <c r="E966" s="58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  <c r="AA966" s="58"/>
      <c r="AB966" s="58"/>
      <c r="AC966" s="58"/>
    </row>
    <row r="967">
      <c r="A967" s="58"/>
      <c r="B967" s="58"/>
      <c r="C967" s="58"/>
      <c r="D967" s="58"/>
      <c r="E967" s="58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  <c r="AA967" s="58"/>
      <c r="AB967" s="58"/>
      <c r="AC967" s="58"/>
    </row>
    <row r="968">
      <c r="A968" s="58"/>
      <c r="B968" s="58"/>
      <c r="C968" s="58"/>
      <c r="D968" s="58"/>
      <c r="E968" s="58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  <c r="AA968" s="58"/>
      <c r="AB968" s="58"/>
      <c r="AC968" s="58"/>
    </row>
    <row r="969">
      <c r="A969" s="58"/>
      <c r="B969" s="58"/>
      <c r="C969" s="58"/>
      <c r="D969" s="58"/>
      <c r="E969" s="58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  <c r="AA969" s="58"/>
      <c r="AB969" s="58"/>
      <c r="AC969" s="58"/>
    </row>
    <row r="970">
      <c r="A970" s="58"/>
      <c r="B970" s="58"/>
      <c r="C970" s="58"/>
      <c r="D970" s="58"/>
      <c r="E970" s="58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  <c r="AA970" s="58"/>
      <c r="AB970" s="58"/>
      <c r="AC970" s="58"/>
    </row>
    <row r="971">
      <c r="A971" s="58"/>
      <c r="B971" s="58"/>
      <c r="C971" s="58"/>
      <c r="D971" s="58"/>
      <c r="E971" s="58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  <c r="AA971" s="58"/>
      <c r="AB971" s="58"/>
      <c r="AC971" s="58"/>
    </row>
    <row r="972">
      <c r="A972" s="58"/>
      <c r="B972" s="58"/>
      <c r="C972" s="58"/>
      <c r="D972" s="58"/>
      <c r="E972" s="58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  <c r="AA972" s="58"/>
      <c r="AB972" s="58"/>
      <c r="AC972" s="58"/>
    </row>
    <row r="973">
      <c r="A973" s="58"/>
      <c r="B973" s="58"/>
      <c r="C973" s="58"/>
      <c r="D973" s="58"/>
      <c r="E973" s="58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  <c r="AA973" s="58"/>
      <c r="AB973" s="58"/>
      <c r="AC973" s="58"/>
    </row>
    <row r="974">
      <c r="A974" s="58"/>
      <c r="B974" s="58"/>
      <c r="C974" s="58"/>
      <c r="D974" s="58"/>
      <c r="E974" s="58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  <c r="AA974" s="58"/>
      <c r="AB974" s="58"/>
      <c r="AC974" s="58"/>
    </row>
    <row r="975">
      <c r="A975" s="58"/>
      <c r="B975" s="58"/>
      <c r="C975" s="58"/>
      <c r="D975" s="58"/>
      <c r="E975" s="58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  <c r="AA975" s="58"/>
      <c r="AB975" s="58"/>
      <c r="AC975" s="58"/>
    </row>
    <row r="976">
      <c r="A976" s="58"/>
      <c r="B976" s="58"/>
      <c r="C976" s="58"/>
      <c r="D976" s="58"/>
      <c r="E976" s="58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  <c r="AA976" s="58"/>
      <c r="AB976" s="58"/>
      <c r="AC976" s="58"/>
    </row>
    <row r="977">
      <c r="A977" s="58"/>
      <c r="B977" s="58"/>
      <c r="C977" s="58"/>
      <c r="D977" s="58"/>
      <c r="E977" s="58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  <c r="AA977" s="58"/>
      <c r="AB977" s="58"/>
      <c r="AC977" s="58"/>
    </row>
    <row r="978">
      <c r="A978" s="58"/>
      <c r="B978" s="58"/>
      <c r="C978" s="58"/>
      <c r="D978" s="58"/>
      <c r="E978" s="58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  <c r="AA978" s="58"/>
      <c r="AB978" s="58"/>
      <c r="AC978" s="58"/>
    </row>
    <row r="979">
      <c r="A979" s="58"/>
      <c r="B979" s="58"/>
      <c r="C979" s="58"/>
      <c r="D979" s="58"/>
      <c r="E979" s="58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  <c r="AA979" s="58"/>
      <c r="AB979" s="58"/>
      <c r="AC979" s="58"/>
    </row>
    <row r="980">
      <c r="A980" s="58"/>
      <c r="B980" s="58"/>
      <c r="C980" s="58"/>
      <c r="D980" s="58"/>
      <c r="E980" s="58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  <c r="AA980" s="58"/>
      <c r="AB980" s="58"/>
      <c r="AC980" s="58"/>
    </row>
    <row r="981">
      <c r="A981" s="58"/>
      <c r="B981" s="58"/>
      <c r="C981" s="58"/>
      <c r="D981" s="58"/>
      <c r="E981" s="58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  <c r="AA981" s="58"/>
      <c r="AB981" s="58"/>
      <c r="AC981" s="58"/>
    </row>
    <row r="982">
      <c r="A982" s="58"/>
      <c r="B982" s="58"/>
      <c r="C982" s="58"/>
      <c r="D982" s="58"/>
      <c r="E982" s="58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  <c r="AA982" s="58"/>
      <c r="AB982" s="58"/>
      <c r="AC982" s="58"/>
    </row>
    <row r="983">
      <c r="A983" s="58"/>
      <c r="B983" s="58"/>
      <c r="C983" s="58"/>
      <c r="D983" s="58"/>
      <c r="E983" s="58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  <c r="AA983" s="58"/>
      <c r="AB983" s="58"/>
      <c r="AC983" s="58"/>
    </row>
    <row r="984">
      <c r="A984" s="58"/>
      <c r="B984" s="58"/>
      <c r="C984" s="58"/>
      <c r="D984" s="58"/>
      <c r="E984" s="58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  <c r="AA984" s="58"/>
      <c r="AB984" s="58"/>
      <c r="AC984" s="58"/>
    </row>
    <row r="985">
      <c r="A985" s="58"/>
      <c r="B985" s="58"/>
      <c r="C985" s="58"/>
      <c r="D985" s="58"/>
      <c r="E985" s="58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  <c r="AA985" s="58"/>
      <c r="AB985" s="58"/>
      <c r="AC985" s="58"/>
    </row>
    <row r="986">
      <c r="A986" s="58"/>
      <c r="B986" s="58"/>
      <c r="C986" s="58"/>
      <c r="D986" s="58"/>
      <c r="E986" s="58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  <c r="AA986" s="58"/>
      <c r="AB986" s="58"/>
      <c r="AC986" s="58"/>
    </row>
    <row r="987">
      <c r="A987" s="58"/>
      <c r="B987" s="58"/>
      <c r="C987" s="58"/>
      <c r="D987" s="58"/>
      <c r="E987" s="58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  <c r="AA987" s="58"/>
      <c r="AB987" s="58"/>
      <c r="AC987" s="58"/>
    </row>
    <row r="988">
      <c r="A988" s="58"/>
      <c r="B988" s="58"/>
      <c r="C988" s="58"/>
      <c r="D988" s="58"/>
      <c r="E988" s="58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  <c r="AA988" s="58"/>
      <c r="AB988" s="58"/>
      <c r="AC988" s="58"/>
    </row>
    <row r="989">
      <c r="A989" s="58"/>
      <c r="B989" s="58"/>
      <c r="C989" s="58"/>
      <c r="D989" s="58"/>
      <c r="E989" s="58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  <c r="AA989" s="58"/>
      <c r="AB989" s="58"/>
      <c r="AC989" s="58"/>
    </row>
    <row r="990">
      <c r="A990" s="58"/>
      <c r="B990" s="58"/>
      <c r="C990" s="58"/>
      <c r="D990" s="58"/>
      <c r="E990" s="58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  <c r="AA990" s="58"/>
      <c r="AB990" s="58"/>
      <c r="AC990" s="58"/>
    </row>
    <row r="991">
      <c r="A991" s="58"/>
      <c r="B991" s="58"/>
      <c r="C991" s="58"/>
      <c r="D991" s="58"/>
      <c r="E991" s="58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  <c r="AA991" s="58"/>
      <c r="AB991" s="58"/>
      <c r="AC991" s="58"/>
    </row>
    <row r="992">
      <c r="A992" s="58"/>
      <c r="B992" s="58"/>
      <c r="C992" s="58"/>
      <c r="D992" s="58"/>
      <c r="E992" s="58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  <c r="AA992" s="58"/>
      <c r="AB992" s="58"/>
      <c r="AC992" s="58"/>
    </row>
    <row r="993">
      <c r="A993" s="58"/>
      <c r="B993" s="58"/>
      <c r="C993" s="58"/>
      <c r="D993" s="58"/>
      <c r="E993" s="58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  <c r="AA993" s="58"/>
      <c r="AB993" s="58"/>
      <c r="AC993" s="58"/>
    </row>
    <row r="994">
      <c r="A994" s="58"/>
      <c r="B994" s="58"/>
      <c r="C994" s="58"/>
      <c r="D994" s="58"/>
      <c r="E994" s="58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  <c r="AA994" s="58"/>
      <c r="AB994" s="58"/>
      <c r="AC994" s="58"/>
    </row>
    <row r="995">
      <c r="A995" s="58"/>
      <c r="B995" s="58"/>
      <c r="C995" s="58"/>
      <c r="D995" s="58"/>
      <c r="E995" s="58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  <c r="AA995" s="58"/>
      <c r="AB995" s="58"/>
      <c r="AC995" s="58"/>
    </row>
    <row r="996">
      <c r="A996" s="58"/>
      <c r="B996" s="58"/>
      <c r="C996" s="58"/>
      <c r="D996" s="58"/>
      <c r="E996" s="58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  <c r="AA996" s="58"/>
      <c r="AB996" s="58"/>
      <c r="AC996" s="58"/>
    </row>
    <row r="997">
      <c r="A997" s="58"/>
      <c r="B997" s="58"/>
      <c r="C997" s="58"/>
      <c r="D997" s="58"/>
      <c r="E997" s="58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  <c r="AA997" s="58"/>
      <c r="AB997" s="58"/>
      <c r="AC997" s="58"/>
    </row>
    <row r="998">
      <c r="A998" s="58"/>
      <c r="B998" s="58"/>
      <c r="C998" s="58"/>
      <c r="D998" s="58"/>
      <c r="E998" s="58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  <c r="AA998" s="58"/>
      <c r="AB998" s="58"/>
      <c r="AC998" s="58"/>
    </row>
    <row r="999">
      <c r="A999" s="58"/>
      <c r="B999" s="58"/>
      <c r="C999" s="58"/>
      <c r="D999" s="58"/>
      <c r="E999" s="58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  <c r="AA999" s="58"/>
      <c r="AB999" s="58"/>
      <c r="AC999" s="58"/>
    </row>
    <row r="1000">
      <c r="A1000" s="58"/>
      <c r="B1000" s="58"/>
      <c r="C1000" s="58"/>
      <c r="D1000" s="58"/>
      <c r="E1000" s="58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  <c r="AA1000" s="58"/>
      <c r="AB1000" s="58"/>
      <c r="AC1000" s="58"/>
    </row>
  </sheetData>
  <mergeCells count="7">
    <mergeCell ref="A1:N1"/>
    <mergeCell ref="A2:A3"/>
    <mergeCell ref="B2:B3"/>
    <mergeCell ref="H2:K2"/>
    <mergeCell ref="L2:L3"/>
    <mergeCell ref="M2:M3"/>
    <mergeCell ref="N2:N3"/>
  </mergeCells>
  <conditionalFormatting sqref="G2:G1000">
    <cfRule type="cellIs" dxfId="1" priority="1" operator="greaterThan">
      <formula>100000</formula>
    </cfRule>
  </conditionalFormatting>
  <printOptions gridLines="1" horizontalCentered="1"/>
  <pageMargins bottom="0.75" footer="0.0" header="0.0" left="0.25" right="0.25" top="0.75"/>
  <pageSetup paperSize="8" cellComments="atEnd" orientation="landscape" pageOrder="overThenDown"/>
  <drawing r:id="rId1"/>
</worksheet>
</file>