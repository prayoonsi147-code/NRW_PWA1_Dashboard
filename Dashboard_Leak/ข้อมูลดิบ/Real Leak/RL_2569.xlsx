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อัตรา" sheetId="1" r:id="rId5"/>
    <sheet state="visible" name="ปริมาณ" sheetId="2" r:id="rId6"/>
    <sheet state="visible" name="ต.ค.68" sheetId="3" r:id="rId7"/>
    <sheet state="visible" name="พ.ย. 68" sheetId="4" r:id="rId8"/>
    <sheet state="visible" name="ธ.ค. 68" sheetId="5" r:id="rId9"/>
    <sheet state="visible" name="ม.ค. 69" sheetId="6" r:id="rId10"/>
    <sheet state="visible" name="ก.พ. 69" sheetId="7" r:id="rId11"/>
    <sheet state="visible" name="มี.ค. 69" sheetId="8" r:id="rId12"/>
  </sheets>
  <definedNames/>
  <calcPr/>
</workbook>
</file>

<file path=xl/sharedStrings.xml><?xml version="1.0" encoding="utf-8"?>
<sst xmlns="http://schemas.openxmlformats.org/spreadsheetml/2006/main" count="556" uniqueCount="139">
  <si>
    <t>Data</t>
  </si>
  <si>
    <t>ปีงบประมาณ 2568</t>
  </si>
  <si>
    <t>ปีงบประมาณ 2569</t>
  </si>
  <si>
    <t>ต.ค. 67</t>
  </si>
  <si>
    <t>พ.ย. 67</t>
  </si>
  <si>
    <t>ธ.ค. 67</t>
  </si>
  <si>
    <t>ม.ค. 68</t>
  </si>
  <si>
    <t>ก.พ. 68</t>
  </si>
  <si>
    <t>มี.ค. 68</t>
  </si>
  <si>
    <t>เม.ย. 68</t>
  </si>
  <si>
    <t>พ.ค. 68</t>
  </si>
  <si>
    <t>มิ.ย. 68</t>
  </si>
  <si>
    <t>ก.ค. 68</t>
  </si>
  <si>
    <t>ส.ค. 68</t>
  </si>
  <si>
    <t>ก.ย. 68</t>
  </si>
  <si>
    <t>ต.ค. 68</t>
  </si>
  <si>
    <t>พ.ย. 68</t>
  </si>
  <si>
    <t>ธ.ค. 68</t>
  </si>
  <si>
    <t>ม.ค. 69</t>
  </si>
  <si>
    <t>ก.พ. 69</t>
  </si>
  <si>
    <t>มี.ค. 69</t>
  </si>
  <si>
    <t>เม.ย. 69</t>
  </si>
  <si>
    <t>พ.ค. 69</t>
  </si>
  <si>
    <t>มิ.ย. 69</t>
  </si>
  <si>
    <t>ก.ค. 69</t>
  </si>
  <si>
    <t>ส.ค. 69</t>
  </si>
  <si>
    <t>ก.ย. 69</t>
  </si>
  <si>
    <t>ชลบุรี (พ)</t>
  </si>
  <si>
    <t>พัทยา (พ)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</si>
  <si>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</si>
  <si>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</si>
  <si>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</si>
  <si>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</si>
  <si>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</si>
  <si>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</si>
  <si>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</si>
  <si>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</si>
  <si>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</si>
  <si>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</si>
  <si>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</si>
  <si>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</si>
  <si>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</si>
  <si>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</si>
  <si>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</si>
  <si>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</si>
  <si>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</si>
  <si>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</si>
  <si>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</si>
  <si>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</si>
  <si>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ภาพรวม กปภ.ข.1</t>
  </si>
  <si>
    <t>เดือน</t>
  </si>
  <si>
    <t xml:space="preserve">ข้อมูลน้ำสูญเสียตัวจริงที่ใช้ในการบริหารของ กปภ.เขต 1 เดือนตุลาคม 2568          </t>
  </si>
  <si>
    <t>ลำดับ</t>
  </si>
  <si>
    <t>กปภ.สาขา</t>
  </si>
  <si>
    <t>น้ำผลิตรวมจริง</t>
  </si>
  <si>
    <t>น้ำผลิตจ่ายสุทธิจริง</t>
  </si>
  <si>
    <t>น้ำจำหน่ายจริง</t>
  </si>
  <si>
    <t>น้ำ Blow off จริง</t>
  </si>
  <si>
    <t>น้ำสูญเสียจริง</t>
  </si>
  <si>
    <t>หมายเหตุ</t>
  </si>
  <si>
    <t>ผู้ลงข้อมูล</t>
  </si>
  <si>
    <t>เบอร์ติดต่อ</t>
  </si>
  <si>
    <t>(ลบ.ม.)</t>
  </si>
  <si>
    <t>ปริมาณ (ลบ.ม.)</t>
  </si>
  <si>
    <t>อัตรา (%)</t>
  </si>
  <si>
    <t>อุดมพร ปะระคะ</t>
  </si>
  <si>
    <t>098-9095654</t>
  </si>
  <si>
    <t>สุธินันท์ รัตนพงษ์</t>
  </si>
  <si>
    <t>094-497-0887</t>
  </si>
  <si>
    <t>บริพัฒน์  คมดี</t>
  </si>
  <si>
    <t>092-5013245</t>
  </si>
  <si>
    <t>จิราพัชร ปั้นชู</t>
  </si>
  <si>
    <t>ธนกฤต เล็กตระกูลชัย</t>
  </si>
  <si>
    <t>083-7674284</t>
  </si>
  <si>
    <t>สุทธิรักษ์ รอบคอบ</t>
  </si>
  <si>
    <t>091-873-6353</t>
  </si>
  <si>
    <t>ปัทมา สาริกาแก้ว</t>
  </si>
  <si>
    <t>08-1975-3781</t>
  </si>
  <si>
    <t>สมยศ นาคอุไร</t>
  </si>
  <si>
    <t>081-248-5959</t>
  </si>
  <si>
    <t>นายวันเฉลิม เวียงนนท์</t>
  </si>
  <si>
    <t>081-369-8451</t>
  </si>
  <si>
    <t>หฤพันธ์  โกมินทร์</t>
  </si>
  <si>
    <t>084-601-2285</t>
  </si>
  <si>
    <t>จตุพร เปี่ยมพงศ์สาน</t>
  </si>
  <si>
    <t>ไพรชยนต์ ไชยลิ้นฟ้า</t>
  </si>
  <si>
    <t>091-4685354</t>
  </si>
  <si>
    <t>กัญญารัตน์ ศรีอุดม</t>
  </si>
  <si>
    <t>092-6658041</t>
  </si>
  <si>
    <t>ธนากร นัทธี</t>
  </si>
  <si>
    <t>064-5291360</t>
  </si>
  <si>
    <t>นายธงชัย  จารัตน์</t>
  </si>
  <si>
    <t>087-4496640</t>
  </si>
  <si>
    <t>ฉัตรชัย จันทร์สงค์</t>
  </si>
  <si>
    <t>อภิรัติ เครืออนันต์</t>
  </si>
  <si>
    <t>082-207-7831</t>
  </si>
  <si>
    <t>นายณัฐวุฒิ อ่างเข็ม</t>
  </si>
  <si>
    <t>090-909-9277</t>
  </si>
  <si>
    <t>นายภาณุพัฒน์ ศรีวงษา</t>
  </si>
  <si>
    <t>095-8574448</t>
  </si>
  <si>
    <t>รวม กปภ.ข.1</t>
  </si>
  <si>
    <t xml:space="preserve">ข้อมูลน้ำสูญเสียตัวจริงที่ใช้ในการบริหารของ กปภ.เขต 1 เดือนพฤศจิกายน 2568                                                                </t>
  </si>
  <si>
    <t>น้ำผลิตจ่ายสุทธิจริงสะสม</t>
  </si>
  <si>
    <t>ปริมาณสะสม (ลบ.ม.)</t>
  </si>
  <si>
    <t>อัตราสะสม (%)</t>
  </si>
  <si>
    <t>094-4970887</t>
  </si>
  <si>
    <t>ธนชนัญ สิทธิเวช</t>
  </si>
  <si>
    <t>083-014-1725</t>
  </si>
  <si>
    <t>08-6975-3781</t>
  </si>
  <si>
    <t>จุมพล คลังเจริญพาณิช</t>
  </si>
  <si>
    <t>092-515-3656</t>
  </si>
  <si>
    <t>นายเกียรติศักดิ์  งอกศักดา</t>
  </si>
  <si>
    <t>064-3963619</t>
  </si>
  <si>
    <t>091-468-5354</t>
  </si>
  <si>
    <t>สุทธิพงศ์  นิลเพ็ชร</t>
  </si>
  <si>
    <t>ณยศ เพ็งแก้ว</t>
  </si>
  <si>
    <t>080-6645-916</t>
  </si>
  <si>
    <t>"0629252914</t>
  </si>
  <si>
    <t>ธีทัต สีอุดม</t>
  </si>
  <si>
    <t>ธนวรรธก์ สุวรรณศรี</t>
  </si>
  <si>
    <t>วันเฉลิม เวียงนนท์</t>
  </si>
  <si>
    <t xml:space="preserve">นายณัฐวุฒิ อ่างเข็ม </t>
  </si>
  <si>
    <t>090-9099277</t>
  </si>
  <si>
    <t>ช้อมูลน้ำสูญเสียจริงที่ใช้บริหารของ กปภ.ข.1 เดือน กุมภาพันธ์ 2569</t>
  </si>
  <si>
    <t>น้ำจำหน่ายจริง
(ในOIS เดือน มี.ค.69)</t>
  </si>
  <si>
    <t>น้ำ Blow off จริง
(เดือน ก.พ.69)</t>
  </si>
  <si>
    <t>นายสุธินันท์ รัตนพงษ์</t>
  </si>
  <si>
    <t xml:space="preserve">ปัทมา สาริกาแก้ว </t>
  </si>
  <si>
    <t>จตุพร เปี่ยมพงศ์สานต์</t>
  </si>
  <si>
    <t>096-6695536</t>
  </si>
  <si>
    <t>พชรพรรณ  อะมะตันตรี</t>
  </si>
  <si>
    <t>095-6515390</t>
  </si>
  <si>
    <t>082-2077831</t>
  </si>
  <si>
    <t>**น้ำส่งเขาหินซ้อนรวมกับน้ำจำหน่ายครับ</t>
  </si>
  <si>
    <t>ธีทัต ลีอุดม</t>
  </si>
  <si>
    <t>น้ำจำหน่ายจริง
(ในOIS เดือน เม.ย. 69)</t>
  </si>
  <si>
    <t>น้ำ Blow off จริง
(เดือน มี.ค.69)</t>
  </si>
  <si>
    <t>0970059909</t>
  </si>
  <si>
    <t>081-7232595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</si>
</sst>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Verdana"/>
      <scheme val="minor"/>
    </font>
    <font>
      <sz val="15.0"/>
      <color theme="1"/>
      <name val="TH SarabunPSK"/>
    </font>
    <font>
      <b/>
      <sz val="14.0"/>
      <color theme="1"/>
      <name val="Sarabun"/>
    </font>
    <font/>
    <font>
      <sz val="14.0"/>
      <color theme="1"/>
      <name val="Sarabun"/>
    </font>
    <font>
      <b/>
      <sz val="13.0"/>
      <color theme="1"/>
      <name val="Sarabun"/>
    </font>
    <font>
      <sz val="13.0"/>
      <color theme="1"/>
      <name val="Sarabun"/>
    </font>
    <font>
      <sz val="13.0"/>
      <color rgb="FFFF0000"/>
      <name val="Sarabun"/>
    </font>
    <font>
      <sz val="13.0"/>
      <color rgb="FF000000"/>
      <name val="Sarabun"/>
    </font>
    <font>
      <sz val="12.0"/>
      <color rgb="FFFF0000"/>
      <name val="&quot;Cordia New&quot;"/>
    </font>
    <font>
      <sz val="12.0"/>
      <color theme="1"/>
      <name val="&quot;Cordia New&quot;"/>
    </font>
    <font>
      <b/>
      <sz val="15.0"/>
      <color theme="1"/>
      <name val="TH SarabunPSK"/>
    </font>
    <font>
      <sz val="14.0"/>
      <color rgb="FF000000"/>
      <name val="TH SarabunPSK"/>
    </font>
    <font>
      <sz val="16.0"/>
      <color theme="1"/>
      <name val="TH SarabunPSK"/>
    </font>
    <font>
      <sz val="15.0"/>
      <color rgb="FF000000"/>
      <name val="TH SarabunPSK"/>
    </font>
    <font>
      <sz val="15.0"/>
      <color rgb="FF1A1A1A"/>
      <name val="TH SarabunPSK"/>
    </font>
    <font>
      <color theme="1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7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/>
    </xf>
    <xf borderId="4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readingOrder="0"/>
    </xf>
    <xf borderId="0" fillId="0" fontId="4" numFmtId="0" xfId="0" applyFont="1"/>
    <xf borderId="5" fillId="0" fontId="1" numFmtId="4" xfId="0" applyBorder="1" applyFont="1" applyNumberFormat="1"/>
    <xf borderId="6" fillId="0" fontId="4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1" numFmtId="3" xfId="0" applyAlignment="1" applyBorder="1" applyFont="1" applyNumberFormat="1">
      <alignment readingOrder="0"/>
    </xf>
    <xf borderId="5" fillId="0" fontId="4" numFmtId="2" xfId="0" applyBorder="1" applyFont="1" applyNumberFormat="1"/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5" fillId="2" fontId="1" numFmtId="4" xfId="0" applyBorder="1" applyFill="1" applyFont="1" applyNumberFormat="1"/>
    <xf borderId="0" fillId="0" fontId="4" numFmtId="3" xfId="0" applyAlignment="1" applyFont="1" applyNumberFormat="1">
      <alignment horizontal="center" readingOrder="0"/>
    </xf>
    <xf borderId="5" fillId="3" fontId="1" numFmtId="4" xfId="0" applyBorder="1" applyFill="1" applyFont="1" applyNumberFormat="1"/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5" fillId="0" fontId="4" numFmtId="4" xfId="0" applyAlignment="1" applyBorder="1" applyFont="1" applyNumberFormat="1">
      <alignment horizontal="center"/>
    </xf>
    <xf borderId="5" fillId="0" fontId="4" numFmtId="3" xfId="0" applyAlignment="1" applyBorder="1" applyFont="1" applyNumberFormat="1">
      <alignment horizontal="center" readingOrder="0"/>
    </xf>
    <xf borderId="5" fillId="0" fontId="4" numFmtId="4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horizontal="center" readingOrder="0"/>
    </xf>
    <xf borderId="5" fillId="0" fontId="4" numFmtId="3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Font="1"/>
    <xf borderId="2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center"/>
    </xf>
    <xf borderId="6" fillId="0" fontId="3" numFmtId="0" xfId="0" applyBorder="1" applyFont="1"/>
    <xf borderId="5" fillId="0" fontId="6" numFmtId="0" xfId="0" applyBorder="1" applyFont="1"/>
    <xf borderId="5" fillId="0" fontId="6" numFmtId="0" xfId="0" applyAlignment="1" applyBorder="1" applyFont="1">
      <alignment horizontal="left"/>
    </xf>
    <xf borderId="5" fillId="0" fontId="6" numFmtId="4" xfId="0" applyAlignment="1" applyBorder="1" applyFont="1" applyNumberFormat="1">
      <alignment horizontal="center"/>
    </xf>
    <xf borderId="5" fillId="0" fontId="6" numFmtId="4" xfId="0" applyAlignment="1" applyBorder="1" applyFont="1" applyNumberFormat="1">
      <alignment horizontal="center" readingOrder="0"/>
    </xf>
    <xf borderId="5" fillId="0" fontId="6" numFmtId="4" xfId="0" applyBorder="1" applyFont="1" applyNumberFormat="1"/>
    <xf borderId="5" fillId="0" fontId="6" numFmtId="0" xfId="0" applyAlignment="1" applyBorder="1" applyFont="1">
      <alignment horizontal="center"/>
    </xf>
    <xf borderId="5" fillId="0" fontId="7" numFmtId="4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5" fillId="0" fontId="6" numFmtId="4" xfId="0" applyAlignment="1" applyBorder="1" applyFont="1" applyNumberFormat="1">
      <alignment horizontal="center" readingOrder="0" vertical="center"/>
    </xf>
    <xf quotePrefix="1" borderId="5" fillId="0" fontId="6" numFmtId="0" xfId="0" applyAlignment="1" applyBorder="1" applyFont="1">
      <alignment horizontal="center" readingOrder="0"/>
    </xf>
    <xf borderId="5" fillId="0" fontId="6" numFmtId="4" xfId="0" applyAlignment="1" applyBorder="1" applyFont="1" applyNumberFormat="1">
      <alignment horizontal="center" vertical="bottom"/>
    </xf>
    <xf borderId="5" fillId="0" fontId="8" numFmtId="4" xfId="0" applyAlignment="1" applyBorder="1" applyFont="1" applyNumberFormat="1">
      <alignment horizontal="center" readingOrder="0"/>
    </xf>
    <xf borderId="5" fillId="0" fontId="6" numFmtId="4" xfId="0" applyAlignment="1" applyBorder="1" applyFont="1" applyNumberFormat="1">
      <alignment readingOrder="0"/>
    </xf>
    <xf borderId="5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/>
    </xf>
    <xf borderId="5" fillId="3" fontId="6" numFmtId="4" xfId="0" applyAlignment="1" applyBorder="1" applyFont="1" applyNumberFormat="1">
      <alignment horizontal="center"/>
    </xf>
    <xf borderId="5" fillId="3" fontId="6" numFmtId="4" xfId="0" applyBorder="1" applyFont="1" applyNumberFormat="1"/>
    <xf borderId="0" fillId="0" fontId="6" numFmtId="0" xfId="0" applyAlignment="1" applyFont="1">
      <alignment horizontal="center"/>
    </xf>
    <xf borderId="5" fillId="0" fontId="9" numFmtId="4" xfId="0" applyAlignment="1" applyBorder="1" applyFont="1" applyNumberFormat="1">
      <alignment horizontal="left" readingOrder="0" shrinkToFit="0" vertical="bottom" wrapText="0"/>
    </xf>
    <xf borderId="5" fillId="0" fontId="10" numFmtId="4" xfId="0" applyAlignment="1" applyBorder="1" applyFont="1" applyNumberFormat="1">
      <alignment horizontal="left" readingOrder="0" shrinkToFit="0" vertical="bottom" wrapText="0"/>
    </xf>
    <xf borderId="0" fillId="0" fontId="11" numFmtId="4" xfId="0" applyAlignment="1" applyFont="1" applyNumberFormat="1">
      <alignment horizontal="center" readingOrder="0" vertical="center"/>
    </xf>
    <xf borderId="0" fillId="0" fontId="1" numFmtId="4" xfId="0" applyFont="1" applyNumberFormat="1"/>
    <xf borderId="2" fillId="0" fontId="11" numFmtId="4" xfId="0" applyAlignment="1" applyBorder="1" applyFont="1" applyNumberFormat="1">
      <alignment horizontal="center"/>
    </xf>
    <xf borderId="5" fillId="0" fontId="11" numFmtId="4" xfId="0" applyAlignment="1" applyBorder="1" applyFont="1" applyNumberFormat="1">
      <alignment horizontal="center"/>
    </xf>
    <xf borderId="5" fillId="0" fontId="11" numFmtId="4" xfId="0" applyAlignment="1" applyBorder="1" applyFont="1" applyNumberFormat="1">
      <alignment horizontal="center" readingOrder="0"/>
    </xf>
    <xf borderId="3" fillId="0" fontId="11" numFmtId="4" xfId="0" applyAlignment="1" applyBorder="1" applyFont="1" applyNumberFormat="1">
      <alignment horizontal="center"/>
    </xf>
    <xf borderId="2" fillId="0" fontId="11" numFmtId="4" xfId="0" applyAlignment="1" applyBorder="1" applyFont="1" applyNumberFormat="1">
      <alignment horizontal="center" vertical="center"/>
    </xf>
    <xf borderId="5" fillId="0" fontId="1" numFmtId="3" xfId="0" applyBorder="1" applyFont="1" applyNumberFormat="1"/>
    <xf borderId="5" fillId="0" fontId="1" numFmtId="4" xfId="0" applyAlignment="1" applyBorder="1" applyFont="1" applyNumberFormat="1">
      <alignment horizontal="left"/>
    </xf>
    <xf borderId="5" fillId="0" fontId="1" numFmtId="4" xfId="0" applyAlignment="1" applyBorder="1" applyFont="1" applyNumberFormat="1">
      <alignment horizontal="right" vertical="bottom"/>
    </xf>
    <xf borderId="1" fillId="0" fontId="1" numFmtId="4" xfId="0" applyBorder="1" applyFont="1" applyNumberFormat="1"/>
    <xf borderId="5" fillId="0" fontId="1" numFmtId="4" xfId="0" applyAlignment="1" applyBorder="1" applyFont="1" applyNumberFormat="1">
      <alignment horizontal="center"/>
    </xf>
    <xf borderId="5" fillId="0" fontId="1" numFmtId="4" xfId="0" applyAlignment="1" applyBorder="1" applyFont="1" applyNumberFormat="1">
      <alignment horizontal="right" readingOrder="0" vertical="bottom"/>
    </xf>
    <xf borderId="1" fillId="0" fontId="1" numFmtId="4" xfId="0" applyAlignment="1" applyBorder="1" applyFont="1" applyNumberFormat="1">
      <alignment horizontal="right" readingOrder="0" vertical="bottom"/>
    </xf>
    <xf borderId="5" fillId="0" fontId="1" numFmtId="4" xfId="0" applyAlignment="1" applyBorder="1" applyFont="1" applyNumberFormat="1">
      <alignment readingOrder="0"/>
    </xf>
    <xf borderId="5" fillId="0" fontId="1" numFmtId="4" xfId="0" applyAlignment="1" applyBorder="1" applyFont="1" applyNumberFormat="1">
      <alignment horizontal="center" readingOrder="0"/>
    </xf>
    <xf borderId="5" fillId="0" fontId="1" numFmtId="4" xfId="0" applyAlignment="1" applyBorder="1" applyFont="1" applyNumberFormat="1">
      <alignment horizontal="right" readingOrder="0"/>
    </xf>
    <xf borderId="5" fillId="0" fontId="1" numFmtId="4" xfId="0" applyAlignment="1" applyBorder="1" applyFont="1" applyNumberFormat="1">
      <alignment horizontal="right"/>
    </xf>
    <xf borderId="5" fillId="2" fontId="1" numFmtId="3" xfId="0" applyBorder="1" applyFont="1" applyNumberFormat="1"/>
    <xf borderId="5" fillId="2" fontId="1" numFmtId="4" xfId="0" applyAlignment="1" applyBorder="1" applyFont="1" applyNumberFormat="1">
      <alignment horizontal="left"/>
    </xf>
    <xf borderId="5" fillId="2" fontId="1" numFmtId="4" xfId="0" applyAlignment="1" applyBorder="1" applyFont="1" applyNumberFormat="1">
      <alignment horizontal="right" readingOrder="0"/>
    </xf>
    <xf borderId="5" fillId="2" fontId="1" numFmtId="4" xfId="0" applyAlignment="1" applyBorder="1" applyFont="1" applyNumberFormat="1">
      <alignment readingOrder="0"/>
    </xf>
    <xf borderId="5" fillId="2" fontId="1" numFmtId="4" xfId="0" applyAlignment="1" applyBorder="1" applyFont="1" applyNumberFormat="1">
      <alignment horizontal="center" readingOrder="0"/>
    </xf>
    <xf quotePrefix="1" borderId="5" fillId="0" fontId="1" numFmtId="4" xfId="0" applyAlignment="1" applyBorder="1" applyFont="1" applyNumberFormat="1">
      <alignment horizontal="center" readingOrder="0"/>
    </xf>
    <xf borderId="5" fillId="0" fontId="1" numFmtId="4" xfId="0" applyAlignment="1" applyBorder="1" applyFont="1" applyNumberFormat="1">
      <alignment horizontal="left" readingOrder="0" vertical="center"/>
    </xf>
    <xf borderId="5" fillId="0" fontId="1" numFmtId="4" xfId="0" applyAlignment="1" applyBorder="1" applyFont="1" applyNumberFormat="1">
      <alignment horizontal="center" readingOrder="0" vertical="center"/>
    </xf>
    <xf borderId="3" fillId="3" fontId="11" numFmtId="3" xfId="0" applyAlignment="1" applyBorder="1" applyFont="1" applyNumberFormat="1">
      <alignment horizontal="center" readingOrder="0"/>
    </xf>
    <xf borderId="1" fillId="3" fontId="11" numFmtId="4" xfId="0" applyAlignment="1" applyBorder="1" applyFont="1" applyNumberFormat="1">
      <alignment horizontal="center" readingOrder="0"/>
    </xf>
    <xf borderId="1" fillId="3" fontId="1" numFmtId="4" xfId="0" applyAlignment="1" applyBorder="1" applyFont="1" applyNumberFormat="1">
      <alignment horizontal="right" vertical="bottom"/>
    </xf>
    <xf borderId="5" fillId="0" fontId="12" numFmtId="4" xfId="0" applyAlignment="1" applyBorder="1" applyFont="1" applyNumberFormat="1">
      <alignment horizontal="right" readingOrder="0"/>
    </xf>
    <xf borderId="5" fillId="0" fontId="12" numFmtId="4" xfId="0" applyAlignment="1" applyBorder="1" applyFont="1" applyNumberFormat="1">
      <alignment horizontal="center" readingOrder="0"/>
    </xf>
    <xf quotePrefix="1" borderId="5" fillId="0" fontId="1" numFmtId="0" xfId="0" applyAlignment="1" applyBorder="1" applyFont="1">
      <alignment horizontal="center" readingOrder="0"/>
    </xf>
    <xf borderId="5" fillId="0" fontId="13" numFmtId="4" xfId="0" applyAlignment="1" applyBorder="1" applyFont="1" applyNumberFormat="1">
      <alignment horizontal="right"/>
    </xf>
    <xf borderId="5" fillId="0" fontId="1" numFmtId="0" xfId="0" applyAlignment="1" applyBorder="1" applyFont="1">
      <alignment readingOrder="0"/>
    </xf>
    <xf borderId="0" fillId="0" fontId="1" numFmtId="4" xfId="0" applyAlignment="1" applyFont="1" applyNumberFormat="1">
      <alignment readingOrder="0"/>
    </xf>
    <xf borderId="1" fillId="2" fontId="1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/>
    </xf>
    <xf borderId="5" fillId="0" fontId="14" numFmtId="4" xfId="0" applyAlignment="1" applyBorder="1" applyFont="1" applyNumberFormat="1">
      <alignment readingOrder="0"/>
    </xf>
    <xf borderId="5" fillId="0" fontId="13" numFmtId="4" xfId="0" applyAlignment="1" applyBorder="1" applyFont="1" applyNumberFormat="1">
      <alignment horizontal="right" readingOrder="0"/>
    </xf>
    <xf borderId="5" fillId="0" fontId="11" numFmtId="4" xfId="0" applyAlignment="1" applyBorder="1" applyFont="1" applyNumberFormat="1">
      <alignment horizontal="center" vertical="center"/>
    </xf>
    <xf borderId="5" fillId="0" fontId="11" numFmtId="4" xfId="0" applyAlignment="1" applyBorder="1" applyFont="1" applyNumberFormat="1">
      <alignment horizontal="center" readingOrder="0" vertical="center"/>
    </xf>
    <xf borderId="3" fillId="0" fontId="11" numFmtId="4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vertical="center"/>
    </xf>
    <xf borderId="5" fillId="4" fontId="1" numFmtId="4" xfId="0" applyAlignment="1" applyBorder="1" applyFill="1" applyFont="1" applyNumberFormat="1">
      <alignment readingOrder="0"/>
    </xf>
    <xf borderId="5" fillId="4" fontId="1" numFmtId="4" xfId="0" applyBorder="1" applyFont="1" applyNumberFormat="1"/>
    <xf borderId="5" fillId="4" fontId="12" numFmtId="4" xfId="0" applyAlignment="1" applyBorder="1" applyFont="1" applyNumberFormat="1">
      <alignment horizontal="right" readingOrder="0"/>
    </xf>
    <xf borderId="5" fillId="4" fontId="1" numFmtId="4" xfId="0" applyAlignment="1" applyBorder="1" applyFont="1" applyNumberFormat="1">
      <alignment horizontal="right" readingOrder="0"/>
    </xf>
    <xf borderId="0" fillId="0" fontId="15" numFmtId="4" xfId="0" applyAlignment="1" applyFont="1" applyNumberFormat="1">
      <alignment horizontal="right" readingOrder="0"/>
    </xf>
    <xf borderId="5" fillId="0" fontId="1" numFmtId="0" xfId="0" applyAlignment="1" applyBorder="1" applyFont="1">
      <alignment horizontal="center" readingOrder="0"/>
    </xf>
    <xf borderId="5" fillId="4" fontId="13" numFmtId="4" xfId="0" applyAlignment="1" applyBorder="1" applyFont="1" applyNumberFormat="1">
      <alignment horizontal="right" readingOrder="0"/>
    </xf>
    <xf borderId="5" fillId="0" fontId="16" numFmtId="4" xfId="0" applyAlignment="1" applyBorder="1" applyFont="1" applyNumberFormat="1">
      <alignment horizontal="center" readingOrder="0"/>
    </xf>
    <xf borderId="0" fillId="5" fontId="1" numFmtId="4" xfId="0" applyFill="1" applyFont="1" applyNumberFormat="1"/>
    <xf borderId="1" fillId="0" fontId="1" numFmtId="4" xfId="0" applyAlignment="1" applyBorder="1" applyFont="1" applyNumberFormat="1">
      <alignment horizontal="center" vertical="bottom"/>
    </xf>
    <xf borderId="5" fillId="0" fontId="1" numFmtId="49" xfId="0" applyAlignment="1" applyBorder="1" applyFont="1" applyNumberFormat="1">
      <alignment horizontal="center" readingOrder="0"/>
    </xf>
    <xf borderId="5" fillId="5" fontId="1" numFmtId="3" xfId="0" applyBorder="1" applyFont="1" applyNumberFormat="1"/>
    <xf borderId="5" fillId="5" fontId="1" numFmtId="4" xfId="0" applyAlignment="1" applyBorder="1" applyFont="1" applyNumberFormat="1">
      <alignment horizontal="left"/>
    </xf>
    <xf borderId="5" fillId="5" fontId="1" numFmtId="4" xfId="0" applyAlignment="1" applyBorder="1" applyFont="1" applyNumberFormat="1">
      <alignment readingOrder="0"/>
    </xf>
    <xf borderId="1" fillId="5" fontId="1" numFmtId="4" xfId="0" applyAlignment="1" applyBorder="1" applyFont="1" applyNumberFormat="1">
      <alignment horizontal="right" vertical="bottom"/>
    </xf>
    <xf borderId="5" fillId="5" fontId="1" numFmtId="4" xfId="0" applyBorder="1" applyFont="1" applyNumberFormat="1"/>
    <xf borderId="1" fillId="5" fontId="1" numFmtId="4" xfId="0" applyBorder="1" applyFont="1" applyNumberFormat="1"/>
  </cellXfs>
  <cellStyles count="1">
    <cellStyle xfId="0" name="Normal" builtinId="0"/>
  </cellStyles>
  <dxfs count="2">
    <dxf>
      <font>
        <color rgb="FFFF0000"/>
      </font>
      <fill>
        <patternFill patternType="solid">
          <fgColor rgb="FFD9EAD3"/>
          <bgColor rgb="FFD9EAD3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'อัตรา'!$E$2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</c:dPt>
          <c:cat>
            <c:strRef>
              <c:f>'อัตรา'!$B$3:$B$8</c:f>
            </c:strRef>
          </c:cat>
          <c:val>
            <c:numRef>
              <c:f>'อัตรา'!$E$3:$E$8</c:f>
              <c:numCache/>
            </c:numRef>
          </c:val>
        </c:ser>
        <c:ser>
          <c:idx val="1"/>
          <c:order val="1"/>
          <c:tx>
            <c:strRef>
              <c:f>'อัตรา'!$F$2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'อัตรา'!$B$3:$B$8</c:f>
            </c:strRef>
          </c:cat>
          <c:val>
            <c:numRef>
              <c:f>'อัตรา'!$F$3:$F$8</c:f>
              <c:numCache/>
            </c:numRef>
          </c:val>
        </c:ser>
        <c:ser>
          <c:idx val="2"/>
          <c:order val="2"/>
          <c:tx>
            <c:strRef>
              <c:f>'อัตรา'!$G$2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'อัตรา'!$G$3:$G$8</c:f>
              <c:numCache/>
            </c:numRef>
          </c:val>
        </c:ser>
        <c:ser>
          <c:idx val="3"/>
          <c:order val="3"/>
          <c:tx>
            <c:strRef>
              <c:f>'อัตรา'!$H$2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'อัตรา'!$H$3:$H$8</c:f>
              <c:numCache/>
            </c:numRef>
          </c:val>
        </c:ser>
        <c:ser>
          <c:idx val="4"/>
          <c:order val="4"/>
          <c:tx>
            <c:strRef>
              <c:f>'อัตรา'!$I$2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'อัตรา'!$I$3:$I$8</c:f>
              <c:numCache/>
            </c:numRef>
          </c:val>
        </c:ser>
        <c:ser>
          <c:idx val="5"/>
          <c:order val="5"/>
          <c:tx>
            <c:strRef>
              <c:f>'อัตรา'!$J$2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'อัตรา'!$J$3:$J$8</c:f>
              <c:numCache/>
            </c:numRef>
          </c:val>
        </c:ser>
        <c:ser>
          <c:idx val="6"/>
          <c:order val="6"/>
          <c:tx>
            <c:strRef>
              <c:f>'อัตรา'!$K$2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'อัตรา'!$K$3:$K$8</c:f>
              <c:numCache/>
            </c:numRef>
          </c:val>
        </c:ser>
        <c:ser>
          <c:idx val="7"/>
          <c:order val="7"/>
          <c:tx>
            <c:strRef>
              <c:f>'อัตรา'!$L$2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'อัตรา'!$L$3:$L$8</c:f>
              <c:numCache/>
            </c:numRef>
          </c:val>
        </c:ser>
        <c:ser>
          <c:idx val="8"/>
          <c:order val="8"/>
          <c:tx>
            <c:strRef>
              <c:f>'อัตรา'!$M$2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'อัตรา'!$M$3:$M$8</c:f>
              <c:numCache/>
            </c:numRef>
          </c:val>
        </c:ser>
        <c:ser>
          <c:idx val="9"/>
          <c:order val="9"/>
          <c:tx>
            <c:strRef>
              <c:f>'อัตรา'!$N$2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'อัตรา'!$N$3:$N$8</c:f>
              <c:numCache/>
            </c:numRef>
          </c:val>
        </c:ser>
        <c:ser>
          <c:idx val="10"/>
          <c:order val="10"/>
          <c:tx>
            <c:strRef>
              <c:f>'อัตรา'!$O$2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'อัตรา'!$B$3:$B$8</c:f>
            </c:strRef>
          </c:cat>
          <c:val>
            <c:numRef>
              <c:f>'อัตรา'!$O$3:$O$8</c:f>
              <c:numCache/>
            </c:numRef>
          </c:val>
        </c:ser>
        <c:ser>
          <c:idx val="11"/>
          <c:order val="11"/>
          <c:tx>
            <c:strRef>
              <c:f>'อัตรา'!$P$2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</c:dPt>
          <c:cat>
            <c:strRef>
              <c:f>'อัตรา'!$B$3:$B$8</c:f>
            </c:strRef>
          </c:cat>
          <c:val>
            <c:numRef>
              <c:f>'อัตรา'!$P$3:$P$8</c:f>
              <c:numCache/>
            </c:numRef>
          </c:val>
        </c:ser>
        <c:ser>
          <c:idx val="12"/>
          <c:order val="12"/>
          <c:tx>
            <c:strRef>
              <c:f>'อัตรา'!$Q$2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5"/>
          </c:dPt>
          <c:cat>
            <c:strRef>
              <c:f>'อัตรา'!$B$3:$B$8</c:f>
            </c:strRef>
          </c:cat>
          <c:val>
            <c:numRef>
              <c:f>'อัตรา'!$Q$3:$Q$8</c:f>
              <c:numCache/>
            </c:numRef>
          </c:val>
        </c:ser>
        <c:ser>
          <c:idx val="13"/>
          <c:order val="13"/>
          <c:tx>
            <c:strRef>
              <c:f>'อัตรา'!$R$2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cat>
            <c:strRef>
              <c:f>'อัตรา'!$B$3:$B$8</c:f>
            </c:strRef>
          </c:cat>
          <c:val>
            <c:numRef>
              <c:f>'อัตรา'!$R$3:$R$8</c:f>
              <c:numCache/>
            </c:numRef>
          </c:val>
        </c:ser>
        <c:ser>
          <c:idx val="14"/>
          <c:order val="14"/>
          <c:tx>
            <c:strRef>
              <c:f>'อัตรา'!$S$2</c:f>
            </c:strRef>
          </c:tx>
          <c:cat>
            <c:strRef>
              <c:f>'อัตรา'!$B$3:$B$8</c:f>
            </c:strRef>
          </c:cat>
          <c:val>
            <c:numRef>
              <c:f>'อัตรา'!$S$3:$S$8</c:f>
              <c:numCache/>
            </c:numRef>
          </c:val>
        </c:ser>
        <c:ser>
          <c:idx val="15"/>
          <c:order val="15"/>
          <c:tx>
            <c:strRef>
              <c:f>'อัตรา'!$T$2</c:f>
            </c:strRef>
          </c:tx>
          <c:cat>
            <c:strRef>
              <c:f>'อัตรา'!$B$3:$B$8</c:f>
            </c:strRef>
          </c:cat>
          <c:val>
            <c:numRef>
              <c:f>'อัตรา'!$T$3:$T$8</c:f>
              <c:numCache/>
            </c:numRef>
          </c:val>
        </c:ser>
        <c:ser>
          <c:idx val="16"/>
          <c:order val="16"/>
          <c:tx>
            <c:strRef>
              <c:f>'อัตรา'!$U$2</c:f>
            </c:strRef>
          </c:tx>
          <c:cat>
            <c:strRef>
              <c:f>'อัตรา'!$B$3:$B$8</c:f>
            </c:strRef>
          </c:cat>
          <c:val>
            <c:numRef>
              <c:f>'อัตรา'!$U$3:$U$8</c:f>
              <c:numCache/>
            </c:numRef>
          </c:val>
        </c:ser>
        <c:ser>
          <c:idx val="17"/>
          <c:order val="17"/>
          <c:tx>
            <c:strRef>
              <c:f>'อัตรา'!$V$2</c:f>
            </c:strRef>
          </c:tx>
          <c:cat>
            <c:strRef>
              <c:f>'อัตรา'!$B$3:$B$8</c:f>
            </c:strRef>
          </c:cat>
          <c:val>
            <c:numRef>
              <c:f>'อัตรา'!$V$3:$V$8</c:f>
              <c:numCache/>
            </c:numRef>
          </c:val>
        </c:ser>
        <c:ser>
          <c:idx val="18"/>
          <c:order val="18"/>
          <c:tx>
            <c:strRef>
              <c:f>'อัตรา'!$W$2</c:f>
            </c:strRef>
          </c:tx>
          <c:cat>
            <c:strRef>
              <c:f>'อัตรา'!$B$3:$B$8</c:f>
            </c:strRef>
          </c:cat>
          <c:val>
            <c:numRef>
              <c:f>'อัตรา'!$W$3:$W$8</c:f>
              <c:numCache/>
            </c:numRef>
          </c:val>
        </c:ser>
        <c:ser>
          <c:idx val="19"/>
          <c:order val="19"/>
          <c:tx>
            <c:strRef>
              <c:f>'อัตรา'!$X$2</c:f>
            </c:strRef>
          </c:tx>
          <c:cat>
            <c:strRef>
              <c:f>'อัตรา'!$B$3:$B$8</c:f>
            </c:strRef>
          </c:cat>
          <c:val>
            <c:numRef>
              <c:f>'อัตรา'!$X$3:$X$8</c:f>
              <c:numCache/>
            </c:numRef>
          </c:val>
        </c:ser>
        <c:ser>
          <c:idx val="20"/>
          <c:order val="20"/>
          <c:tx>
            <c:strRef>
              <c:f>'อัตรา'!$Y$2</c:f>
            </c:strRef>
          </c:tx>
          <c:cat>
            <c:strRef>
              <c:f>'อัตรา'!$B$3:$B$8</c:f>
            </c:strRef>
          </c:cat>
          <c:val>
            <c:numRef>
              <c:f>'อัตรา'!$Y$3:$Y$8</c:f>
              <c:numCache/>
            </c:numRef>
          </c:val>
        </c:ser>
        <c:ser>
          <c:idx val="21"/>
          <c:order val="21"/>
          <c:tx>
            <c:strRef>
              <c:f>'อัตรา'!$Z$2</c:f>
            </c:strRef>
          </c:tx>
          <c:cat>
            <c:strRef>
              <c:f>'อัตรา'!$B$3:$B$8</c:f>
            </c:strRef>
          </c:cat>
          <c:val>
            <c:numRef>
              <c:f>'อัตรา'!$Z$3:$Z$8</c:f>
              <c:numCache/>
            </c:numRef>
          </c:val>
        </c:ser>
        <c:axId val="213029250"/>
        <c:axId val="764392707"/>
      </c:barChart>
      <c:catAx>
        <c:axId val="213029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764392707"/>
      </c:catAx>
      <c:valAx>
        <c:axId val="764392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21302925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'อัตรา'!$B$9:$B$14</c:f>
            </c:strRef>
          </c:cat>
          <c:val>
            <c:numRef>
              <c:f>'อัตรา'!$E$9:$E$14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'อัตรา'!$B$9:$B$14</c:f>
            </c:strRef>
          </c:cat>
          <c:val>
            <c:numRef>
              <c:f>'อัตรา'!$F$9:$F$14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'อัตรา'!$G$9:$G$14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'อัตรา'!$H$9:$H$14</c:f>
              <c:numCache/>
            </c:numRef>
          </c:val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'อัตรา'!$I$9:$I$14</c:f>
              <c:numCache/>
            </c:numRef>
          </c:val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'อัตรา'!$J$9:$J$14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'อัตรา'!$K$9:$K$14</c:f>
              <c:numCache/>
            </c:numRef>
          </c:val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'อัตรา'!$L$9:$L$14</c:f>
              <c:numCache/>
            </c:numRef>
          </c:val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'อัตรา'!$M$9:$M$14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'อัตรา'!$N$9:$N$14</c:f>
              <c:numCache/>
            </c:numRef>
          </c:val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'อัตรา'!$O$9:$O$14</c:f>
              <c:numCache/>
            </c:numRef>
          </c:val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'อัตรา'!$P$9:$P$14</c:f>
              <c:numCache/>
            </c:numRef>
          </c:val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'อัตรา'!$B$9:$B$14</c:f>
            </c:strRef>
          </c:cat>
          <c:val>
            <c:numRef>
              <c:f>'อัตรา'!$Q$9:$Q$14</c:f>
              <c:numCache/>
            </c:numRef>
          </c:val>
        </c:ser>
        <c:axId val="1099869687"/>
        <c:axId val="1794251340"/>
      </c:barChart>
      <c:catAx>
        <c:axId val="1099869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1794251340"/>
      </c:catAx>
      <c:valAx>
        <c:axId val="1794251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109986968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'อัตรา'!$E$15:$E$20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'อัตรา'!$F$15:$F$20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'อัตรา'!$G$15:$G$20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'อัตรา'!$H$15:$H$20</c:f>
              <c:numCache/>
            </c:numRef>
          </c:val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'อัตรา'!$I$15:$I$20</c:f>
              <c:numCache/>
            </c:numRef>
          </c:val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'อัตรา'!$J$15:$J$20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'อัตรา'!$K$15:$K$20</c:f>
              <c:numCache/>
            </c:numRef>
          </c:val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'อัตรา'!$L$15:$L$20</c:f>
              <c:numCache/>
            </c:numRef>
          </c:val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'อัตรา'!$M$15:$M$20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'อัตรา'!$N$15:$N$20</c:f>
              <c:numCache/>
            </c:numRef>
          </c:val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'อัตรา'!$O$15:$O$20</c:f>
              <c:numCache/>
            </c:numRef>
          </c:val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'อัตรา'!$B$15:$B$20</c:f>
            </c:strRef>
          </c:cat>
          <c:val>
            <c:numRef>
              <c:f>'อัตรา'!$P$15:$P$20</c:f>
              <c:numCache/>
            </c:numRef>
          </c:val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cat>
            <c:strRef>
              <c:f>'อัตรา'!$B$15:$B$20</c:f>
            </c:strRef>
          </c:cat>
          <c:val>
            <c:numRef>
              <c:f>'อัตรา'!$Q$15:$Q$20</c:f>
              <c:numCache/>
            </c:numRef>
          </c:val>
        </c:ser>
        <c:ser>
          <c:idx val="13"/>
          <c:order val="1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5"/>
          </c:dPt>
          <c:cat>
            <c:strRef>
              <c:f>'อัตรา'!$B$15:$B$20</c:f>
            </c:strRef>
          </c:cat>
          <c:val>
            <c:numRef>
              <c:f>'อัตรา'!$R$15:$R$20</c:f>
              <c:numCache/>
            </c:numRef>
          </c:val>
        </c:ser>
        <c:ser>
          <c:idx val="14"/>
          <c:order val="14"/>
          <c:cat>
            <c:strRef>
              <c:f>'อัตรา'!$B$15:$B$20</c:f>
            </c:strRef>
          </c:cat>
          <c:val>
            <c:numRef>
              <c:f>'อัตรา'!$S$15:$S$20</c:f>
              <c:numCache/>
            </c:numRef>
          </c:val>
        </c:ser>
        <c:ser>
          <c:idx val="15"/>
          <c:order val="15"/>
          <c:cat>
            <c:strRef>
              <c:f>'อัตรา'!$B$15:$B$20</c:f>
            </c:strRef>
          </c:cat>
          <c:val>
            <c:numRef>
              <c:f>'อัตรา'!$T$15:$T$20</c:f>
              <c:numCache/>
            </c:numRef>
          </c:val>
        </c:ser>
        <c:ser>
          <c:idx val="16"/>
          <c:order val="16"/>
          <c:cat>
            <c:strRef>
              <c:f>'อัตรา'!$B$15:$B$20</c:f>
            </c:strRef>
          </c:cat>
          <c:val>
            <c:numRef>
              <c:f>'อัตรา'!$U$15:$U$20</c:f>
              <c:numCache/>
            </c:numRef>
          </c:val>
        </c:ser>
        <c:ser>
          <c:idx val="17"/>
          <c:order val="17"/>
          <c:cat>
            <c:strRef>
              <c:f>'อัตรา'!$B$15:$B$20</c:f>
            </c:strRef>
          </c:cat>
          <c:val>
            <c:numRef>
              <c:f>'อัตรา'!$V$15:$V$20</c:f>
              <c:numCache/>
            </c:numRef>
          </c:val>
        </c:ser>
        <c:ser>
          <c:idx val="18"/>
          <c:order val="18"/>
          <c:cat>
            <c:strRef>
              <c:f>'อัตรา'!$B$15:$B$20</c:f>
            </c:strRef>
          </c:cat>
          <c:val>
            <c:numRef>
              <c:f>'อัตรา'!$W$15:$W$20</c:f>
              <c:numCache/>
            </c:numRef>
          </c:val>
        </c:ser>
        <c:ser>
          <c:idx val="19"/>
          <c:order val="19"/>
          <c:cat>
            <c:strRef>
              <c:f>'อัตรา'!$B$15:$B$20</c:f>
            </c:strRef>
          </c:cat>
          <c:val>
            <c:numRef>
              <c:f>'อัตรา'!$X$15:$X$20</c:f>
              <c:numCache/>
            </c:numRef>
          </c:val>
        </c:ser>
        <c:ser>
          <c:idx val="20"/>
          <c:order val="20"/>
          <c:cat>
            <c:strRef>
              <c:f>'อัตรา'!$B$15:$B$20</c:f>
            </c:strRef>
          </c:cat>
          <c:val>
            <c:numRef>
              <c:f>'อัตรา'!$Y$15:$Y$20</c:f>
              <c:numCache/>
            </c:numRef>
          </c:val>
        </c:ser>
        <c:ser>
          <c:idx val="21"/>
          <c:order val="21"/>
          <c:cat>
            <c:strRef>
              <c:f>'อัตรา'!$B$15:$B$20</c:f>
            </c:strRef>
          </c:cat>
          <c:val>
            <c:numRef>
              <c:f>'อัตรา'!$Z$15:$Z$20</c:f>
              <c:numCache/>
            </c:numRef>
          </c:val>
        </c:ser>
        <c:axId val="190800449"/>
        <c:axId val="1557904136"/>
      </c:barChart>
      <c:catAx>
        <c:axId val="190800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1557904136"/>
      </c:catAx>
      <c:valAx>
        <c:axId val="1557904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19080044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('อัตรา'!$B$21:$B$25,'อัตรา'!$E$21:$E$25,'อัตรา'!$F$21:$F$25,'อัตรา'!$G$21:$G$25,'อัตรา'!$H$21:$H$25,'อัตรา'!$I$21:$I$25,'อัตรา'!$J$21:$J$25,'อัตรา'!$K$21:$K$25,'อัตรา'!$L$21:$L$25,'อัตรา'!$M$21:$M$25,'อัตรา'!$N$21:$N$25,'อัตรา'!$O$21:$O$25,'อัตรา'!$P$21:$P$25,'อัตรา'!$Q$21:$Q$25)</c:f>
            </c:strRef>
          </c:cat>
          <c:val>
            <c:numRef>
              <c:f>('อัตรา'!$B$21:$B$25,'อัตรา'!$E$21:$E$25,'อัตรา'!$F$21:$F$25,'อัตรา'!$G$21:$G$25,'อัตรา'!$H$21:$H$25,'อัตรา'!$I$21:$I$25,'อัตรา'!$J$21:$J$25,'อัตรา'!$K$21:$K$25,'อัตรา'!$L$21:$L$25,'อัตรา'!$M$21:$M$25,'อัตรา'!$N$21:$N$25,'อัตรา'!$O$21:$O$25,'อัตรา'!$P$21:$P$25,'อัตรา'!$Q$21:$Q$25)</c:f>
              <c:numCache/>
            </c:numRef>
          </c:val>
        </c:ser>
        <c:axId val="2081993798"/>
        <c:axId val="1487277121"/>
      </c:barChart>
      <c:catAx>
        <c:axId val="2081993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1487277121"/>
      </c:catAx>
      <c:valAx>
        <c:axId val="1487277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208199379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'ปริมาณ'!$E$2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</c:dPt>
          <c:cat>
            <c:strRef>
              <c:f>'ปริมาณ'!$B$3:$B$8</c:f>
            </c:strRef>
          </c:cat>
          <c:val>
            <c:numRef>
              <c:f>'ปริมาณ'!$E$3:$E$8</c:f>
              <c:numCache/>
            </c:numRef>
          </c:val>
        </c:ser>
        <c:ser>
          <c:idx val="1"/>
          <c:order val="1"/>
          <c:tx>
            <c:strRef>
              <c:f>'ปริมาณ'!$F$2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'ปริมาณ'!$B$3:$B$8</c:f>
            </c:strRef>
          </c:cat>
          <c:val>
            <c:numRef>
              <c:f>'ปริมาณ'!$F$3:$F$8</c:f>
              <c:numCache/>
            </c:numRef>
          </c:val>
        </c:ser>
        <c:ser>
          <c:idx val="2"/>
          <c:order val="2"/>
          <c:tx>
            <c:strRef>
              <c:f>'ปริมาณ'!$G$2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'ปริมาณ'!$G$3:$G$8</c:f>
              <c:numCache/>
            </c:numRef>
          </c:val>
        </c:ser>
        <c:ser>
          <c:idx val="3"/>
          <c:order val="3"/>
          <c:tx>
            <c:strRef>
              <c:f>'ปริมาณ'!$H$2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'ปริมาณ'!$H$3:$H$8</c:f>
              <c:numCache/>
            </c:numRef>
          </c:val>
        </c:ser>
        <c:ser>
          <c:idx val="4"/>
          <c:order val="4"/>
          <c:tx>
            <c:strRef>
              <c:f>'ปริมาณ'!$I$2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'ปริมาณ'!$I$3:$I$8</c:f>
              <c:numCache/>
            </c:numRef>
          </c:val>
        </c:ser>
        <c:ser>
          <c:idx val="5"/>
          <c:order val="5"/>
          <c:tx>
            <c:strRef>
              <c:f>'ปริมาณ'!$J$2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'ปริมาณ'!$J$3:$J$8</c:f>
              <c:numCache/>
            </c:numRef>
          </c:val>
        </c:ser>
        <c:ser>
          <c:idx val="6"/>
          <c:order val="6"/>
          <c:tx>
            <c:strRef>
              <c:f>'ปริมาณ'!$K$2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'ปริมาณ'!$K$3:$K$8</c:f>
              <c:numCache/>
            </c:numRef>
          </c:val>
        </c:ser>
        <c:ser>
          <c:idx val="7"/>
          <c:order val="7"/>
          <c:tx>
            <c:strRef>
              <c:f>'ปริมาณ'!$L$2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'ปริมาณ'!$L$3:$L$8</c:f>
              <c:numCache/>
            </c:numRef>
          </c:val>
        </c:ser>
        <c:ser>
          <c:idx val="8"/>
          <c:order val="8"/>
          <c:tx>
            <c:strRef>
              <c:f>'ปริมาณ'!$M$2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'ปริมาณ'!$M$3:$M$8</c:f>
              <c:numCache/>
            </c:numRef>
          </c:val>
        </c:ser>
        <c:ser>
          <c:idx val="9"/>
          <c:order val="9"/>
          <c:tx>
            <c:strRef>
              <c:f>'ปริมาณ'!$N$2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'ปริมาณ'!$N$3:$N$8</c:f>
              <c:numCache/>
            </c:numRef>
          </c:val>
        </c:ser>
        <c:ser>
          <c:idx val="10"/>
          <c:order val="10"/>
          <c:tx>
            <c:strRef>
              <c:f>'ปริมาณ'!$O$2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'ปริมาณ'!$B$3:$B$8</c:f>
            </c:strRef>
          </c:cat>
          <c:val>
            <c:numRef>
              <c:f>'ปริมาณ'!$O$3:$O$8</c:f>
              <c:numCache/>
            </c:numRef>
          </c:val>
        </c:ser>
        <c:ser>
          <c:idx val="11"/>
          <c:order val="11"/>
          <c:tx>
            <c:strRef>
              <c:f>'ปริมาณ'!$P$2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</c:dPt>
          <c:cat>
            <c:strRef>
              <c:f>'ปริมาณ'!$B$3:$B$8</c:f>
            </c:strRef>
          </c:cat>
          <c:val>
            <c:numRef>
              <c:f>'ปริมาณ'!$P$3:$P$8</c:f>
              <c:numCache/>
            </c:numRef>
          </c:val>
        </c:ser>
        <c:ser>
          <c:idx val="12"/>
          <c:order val="12"/>
          <c:tx>
            <c:strRef>
              <c:f>'ปริมาณ'!$Q$2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5"/>
          </c:dPt>
          <c:cat>
            <c:strRef>
              <c:f>'ปริมาณ'!$B$3:$B$8</c:f>
            </c:strRef>
          </c:cat>
          <c:val>
            <c:numRef>
              <c:f>'ปริมาณ'!$Q$3:$Q$8</c:f>
              <c:numCache/>
            </c:numRef>
          </c:val>
        </c:ser>
        <c:ser>
          <c:idx val="13"/>
          <c:order val="13"/>
          <c:tx>
            <c:strRef>
              <c:f>'ปริมาณ'!$R$2</c:f>
            </c:strRef>
          </c:tx>
          <c:cat>
            <c:strRef>
              <c:f>'ปริมาณ'!$B$3:$B$8</c:f>
            </c:strRef>
          </c:cat>
          <c:val>
            <c:numRef>
              <c:f>'ปริมาณ'!$R$3:$R$8</c:f>
              <c:numCache/>
            </c:numRef>
          </c:val>
        </c:ser>
        <c:ser>
          <c:idx val="14"/>
          <c:order val="14"/>
          <c:tx>
            <c:strRef>
              <c:f>'ปริมาณ'!$S$2</c:f>
            </c:strRef>
          </c:tx>
          <c:cat>
            <c:strRef>
              <c:f>'ปริมาณ'!$B$3:$B$8</c:f>
            </c:strRef>
          </c:cat>
          <c:val>
            <c:numRef>
              <c:f>'ปริมาณ'!$S$3:$S$8</c:f>
              <c:numCache/>
            </c:numRef>
          </c:val>
        </c:ser>
        <c:ser>
          <c:idx val="15"/>
          <c:order val="15"/>
          <c:tx>
            <c:strRef>
              <c:f>'ปริมาณ'!$T$2</c:f>
            </c:strRef>
          </c:tx>
          <c:cat>
            <c:strRef>
              <c:f>'ปริมาณ'!$B$3:$B$8</c:f>
            </c:strRef>
          </c:cat>
          <c:val>
            <c:numRef>
              <c:f>'ปริมาณ'!$T$3:$T$8</c:f>
              <c:numCache/>
            </c:numRef>
          </c:val>
        </c:ser>
        <c:ser>
          <c:idx val="16"/>
          <c:order val="16"/>
          <c:tx>
            <c:strRef>
              <c:f>'ปริมาณ'!$U$2</c:f>
            </c:strRef>
          </c:tx>
          <c:cat>
            <c:strRef>
              <c:f>'ปริมาณ'!$B$3:$B$8</c:f>
            </c:strRef>
          </c:cat>
          <c:val>
            <c:numRef>
              <c:f>'ปริมาณ'!$U$3:$U$8</c:f>
              <c:numCache/>
            </c:numRef>
          </c:val>
        </c:ser>
        <c:ser>
          <c:idx val="17"/>
          <c:order val="17"/>
          <c:tx>
            <c:strRef>
              <c:f>'ปริมาณ'!$V$2</c:f>
            </c:strRef>
          </c:tx>
          <c:cat>
            <c:strRef>
              <c:f>'ปริมาณ'!$B$3:$B$8</c:f>
            </c:strRef>
          </c:cat>
          <c:val>
            <c:numRef>
              <c:f>'ปริมาณ'!$V$3:$V$8</c:f>
              <c:numCache/>
            </c:numRef>
          </c:val>
        </c:ser>
        <c:ser>
          <c:idx val="18"/>
          <c:order val="18"/>
          <c:tx>
            <c:strRef>
              <c:f>'ปริมาณ'!$W$2</c:f>
            </c:strRef>
          </c:tx>
          <c:cat>
            <c:strRef>
              <c:f>'ปริมาณ'!$B$3:$B$8</c:f>
            </c:strRef>
          </c:cat>
          <c:val>
            <c:numRef>
              <c:f>'ปริมาณ'!$W$3:$W$8</c:f>
              <c:numCache/>
            </c:numRef>
          </c:val>
        </c:ser>
        <c:ser>
          <c:idx val="19"/>
          <c:order val="19"/>
          <c:tx>
            <c:strRef>
              <c:f>'ปริมาณ'!$X$2</c:f>
            </c:strRef>
          </c:tx>
          <c:cat>
            <c:strRef>
              <c:f>'ปริมาณ'!$B$3:$B$8</c:f>
            </c:strRef>
          </c:cat>
          <c:val>
            <c:numRef>
              <c:f>'ปริมาณ'!$X$3:$X$8</c:f>
              <c:numCache/>
            </c:numRef>
          </c:val>
        </c:ser>
        <c:ser>
          <c:idx val="20"/>
          <c:order val="20"/>
          <c:tx>
            <c:strRef>
              <c:f>'ปริมาณ'!$Y$2</c:f>
            </c:strRef>
          </c:tx>
          <c:cat>
            <c:strRef>
              <c:f>'ปริมาณ'!$B$3:$B$8</c:f>
            </c:strRef>
          </c:cat>
          <c:val>
            <c:numRef>
              <c:f>'ปริมาณ'!$Y$3:$Y$8</c:f>
              <c:numCache/>
            </c:numRef>
          </c:val>
        </c:ser>
        <c:ser>
          <c:idx val="21"/>
          <c:order val="21"/>
          <c:tx>
            <c:strRef>
              <c:f>'ปริมาณ'!$Z$2</c:f>
            </c:strRef>
          </c:tx>
          <c:cat>
            <c:strRef>
              <c:f>'ปริมาณ'!$B$3:$B$8</c:f>
            </c:strRef>
          </c:cat>
          <c:val>
            <c:numRef>
              <c:f>'ปริมาณ'!$Z$3:$Z$8</c:f>
              <c:numCache/>
            </c:numRef>
          </c:val>
        </c:ser>
        <c:axId val="30001973"/>
        <c:axId val="1444580686"/>
      </c:barChart>
      <c:catAx>
        <c:axId val="30001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1444580686"/>
      </c:catAx>
      <c:valAx>
        <c:axId val="1444580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3000197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'ปริมาณ'!$B$9:$B$14</c:f>
            </c:strRef>
          </c:cat>
          <c:val>
            <c:numRef>
              <c:f>'ปริมาณ'!$E$9:$E$14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'ปริมาณ'!$B$9:$B$14</c:f>
            </c:strRef>
          </c:cat>
          <c:val>
            <c:numRef>
              <c:f>'ปริมาณ'!$F$9:$F$14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'ปริมาณ'!$G$9:$G$14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'ปริมาณ'!$H$9:$H$14</c:f>
              <c:numCache/>
            </c:numRef>
          </c:val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'ปริมาณ'!$I$9:$I$14</c:f>
              <c:numCache/>
            </c:numRef>
          </c:val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'ปริมาณ'!$J$9:$J$14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'ปริมาณ'!$K$9:$K$14</c:f>
              <c:numCache/>
            </c:numRef>
          </c:val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'ปริมาณ'!$L$9:$L$14</c:f>
              <c:numCache/>
            </c:numRef>
          </c:val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'ปริมาณ'!$M$9:$M$14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'ปริมาณ'!$N$9:$N$14</c:f>
              <c:numCache/>
            </c:numRef>
          </c:val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'ปริมาณ'!$O$9:$O$14</c:f>
              <c:numCache/>
            </c:numRef>
          </c:val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'ปริมาณ'!$P$9:$P$14</c:f>
              <c:numCache/>
            </c:numRef>
          </c:val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'ปริมาณ'!$B$9:$B$14</c:f>
            </c:strRef>
          </c:cat>
          <c:val>
            <c:numRef>
              <c:f>'ปริมาณ'!$Q$9:$Q$14</c:f>
              <c:numCache/>
            </c:numRef>
          </c:val>
        </c:ser>
        <c:axId val="1441528488"/>
        <c:axId val="1962130564"/>
      </c:barChart>
      <c:catAx>
        <c:axId val="144152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1962130564"/>
      </c:catAx>
      <c:valAx>
        <c:axId val="1962130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1441528488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'ปริมาณ'!$E$15:$E$19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'ปริมาณ'!$F$15:$F$19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'ปริมาณ'!$G$15:$G$19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'ปริมาณ'!$H$15:$H$19</c:f>
              <c:numCache/>
            </c:numRef>
          </c:val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'ปริมาณ'!$I$15:$I$19</c:f>
              <c:numCache/>
            </c:numRef>
          </c:val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'ปริมาณ'!$J$15:$J$19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'ปริมาณ'!$K$15:$K$19</c:f>
              <c:numCache/>
            </c:numRef>
          </c:val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'ปริมาณ'!$L$15:$L$19</c:f>
              <c:numCache/>
            </c:numRef>
          </c:val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'ปริมาณ'!$M$15:$M$19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'ปริมาณ'!$N$15:$N$19</c:f>
              <c:numCache/>
            </c:numRef>
          </c:val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'ปริมาณ'!$O$15:$O$19</c:f>
              <c:numCache/>
            </c:numRef>
          </c:val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'ปริมาณ'!$B$15:$B$19</c:f>
            </c:strRef>
          </c:cat>
          <c:val>
            <c:numRef>
              <c:f>'ปริมาณ'!$P$15:$P$19</c:f>
              <c:numCache/>
            </c:numRef>
          </c:val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cat>
            <c:strRef>
              <c:f>'ปริมาณ'!$B$15:$B$19</c:f>
            </c:strRef>
          </c:cat>
          <c:val>
            <c:numRef>
              <c:f>'ปริมาณ'!$Q$15:$Q$19</c:f>
              <c:numCache/>
            </c:numRef>
          </c:val>
        </c:ser>
        <c:ser>
          <c:idx val="13"/>
          <c:order val="13"/>
          <c:cat>
            <c:strRef>
              <c:f>'ปริมาณ'!$B$15:$B$19</c:f>
            </c:strRef>
          </c:cat>
          <c:val>
            <c:numRef>
              <c:f>'ปริมาณ'!$R$15:$R$19</c:f>
              <c:numCache/>
            </c:numRef>
          </c:val>
        </c:ser>
        <c:ser>
          <c:idx val="14"/>
          <c:order val="14"/>
          <c:cat>
            <c:strRef>
              <c:f>'ปริมาณ'!$B$15:$B$19</c:f>
            </c:strRef>
          </c:cat>
          <c:val>
            <c:numRef>
              <c:f>'ปริมาณ'!$S$15:$S$19</c:f>
              <c:numCache/>
            </c:numRef>
          </c:val>
        </c:ser>
        <c:ser>
          <c:idx val="15"/>
          <c:order val="15"/>
          <c:cat>
            <c:strRef>
              <c:f>'ปริมาณ'!$B$15:$B$19</c:f>
            </c:strRef>
          </c:cat>
          <c:val>
            <c:numRef>
              <c:f>'ปริมาณ'!$T$15:$T$19</c:f>
              <c:numCache/>
            </c:numRef>
          </c:val>
        </c:ser>
        <c:ser>
          <c:idx val="16"/>
          <c:order val="16"/>
          <c:cat>
            <c:strRef>
              <c:f>'ปริมาณ'!$B$15:$B$19</c:f>
            </c:strRef>
          </c:cat>
          <c:val>
            <c:numRef>
              <c:f>'ปริมาณ'!$U$15:$U$19</c:f>
              <c:numCache/>
            </c:numRef>
          </c:val>
        </c:ser>
        <c:ser>
          <c:idx val="17"/>
          <c:order val="17"/>
          <c:cat>
            <c:strRef>
              <c:f>'ปริมาณ'!$B$15:$B$19</c:f>
            </c:strRef>
          </c:cat>
          <c:val>
            <c:numRef>
              <c:f>'ปริมาณ'!$V$15:$V$19</c:f>
              <c:numCache/>
            </c:numRef>
          </c:val>
        </c:ser>
        <c:ser>
          <c:idx val="18"/>
          <c:order val="18"/>
          <c:cat>
            <c:strRef>
              <c:f>'ปริมาณ'!$B$15:$B$19</c:f>
            </c:strRef>
          </c:cat>
          <c:val>
            <c:numRef>
              <c:f>'ปริมาณ'!$W$15:$W$19</c:f>
              <c:numCache/>
            </c:numRef>
          </c:val>
        </c:ser>
        <c:ser>
          <c:idx val="19"/>
          <c:order val="19"/>
          <c:cat>
            <c:strRef>
              <c:f>'ปริมาณ'!$B$15:$B$19</c:f>
            </c:strRef>
          </c:cat>
          <c:val>
            <c:numRef>
              <c:f>'ปริมาณ'!$X$15:$X$19</c:f>
              <c:numCache/>
            </c:numRef>
          </c:val>
        </c:ser>
        <c:ser>
          <c:idx val="20"/>
          <c:order val="20"/>
          <c:cat>
            <c:strRef>
              <c:f>'ปริมาณ'!$B$15:$B$19</c:f>
            </c:strRef>
          </c:cat>
          <c:val>
            <c:numRef>
              <c:f>'ปริมาณ'!$Y$15:$Y$19</c:f>
              <c:numCache/>
            </c:numRef>
          </c:val>
        </c:ser>
        <c:ser>
          <c:idx val="21"/>
          <c:order val="21"/>
          <c:cat>
            <c:strRef>
              <c:f>'ปริมาณ'!$B$15:$B$19</c:f>
            </c:strRef>
          </c:cat>
          <c:val>
            <c:numRef>
              <c:f>'ปริมาณ'!$Z$15:$Z$19</c:f>
              <c:numCache/>
            </c:numRef>
          </c:val>
        </c:ser>
        <c:axId val="1986305209"/>
        <c:axId val="1759072717"/>
      </c:barChart>
      <c:catAx>
        <c:axId val="1986305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1759072717"/>
      </c:catAx>
      <c:valAx>
        <c:axId val="1759072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1986305209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'ปริมาณ'!$E$20:$E$24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'ปริมาณ'!$F$20:$F$24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'ปริมาณ'!$G$20:$G$24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'ปริมาณ'!$H$20:$H$24</c:f>
              <c:numCache/>
            </c:numRef>
          </c:val>
        </c:ser>
        <c:ser>
          <c:idx val="4"/>
          <c:order val="4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'ปริมาณ'!$I$20:$I$24</c:f>
              <c:numCache/>
            </c:numRef>
          </c:val>
        </c:ser>
        <c:ser>
          <c:idx val="5"/>
          <c:order val="5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'ปริมาณ'!$J$20:$J$24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'ปริมาณ'!$K$20:$K$24</c:f>
              <c:numCache/>
            </c:numRef>
          </c:val>
        </c:ser>
        <c:ser>
          <c:idx val="7"/>
          <c:order val="7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'ปริมาณ'!$L$20:$L$24</c:f>
              <c:numCache/>
            </c:numRef>
          </c:val>
        </c:ser>
        <c:ser>
          <c:idx val="8"/>
          <c:order val="8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'ปริมาณ'!$M$20:$M$24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'ปริมาณ'!$N$20:$N$24</c:f>
              <c:numCache/>
            </c:numRef>
          </c:val>
        </c:ser>
        <c:ser>
          <c:idx val="10"/>
          <c:order val="1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'ปริมาณ'!$O$20:$O$24</c:f>
              <c:numCache/>
            </c:numRef>
          </c:val>
        </c:ser>
        <c:ser>
          <c:idx val="11"/>
          <c:order val="1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'ปริมาณ'!$P$20:$P$24</c:f>
              <c:numCache/>
            </c:numRef>
          </c:val>
        </c:ser>
        <c:ser>
          <c:idx val="12"/>
          <c:order val="12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'ปริมาณ'!$B$20:$B$24</c:f>
            </c:strRef>
          </c:cat>
          <c:val>
            <c:numRef>
              <c:f>'ปริมาณ'!$Q$20:$Q$24</c:f>
              <c:numCache/>
            </c:numRef>
          </c:val>
        </c:ser>
        <c:axId val="966949453"/>
        <c:axId val="99186454"/>
      </c:barChart>
      <c:catAx>
        <c:axId val="966949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+mn-lt"/>
              </a:defRPr>
            </a:pPr>
          </a:p>
        </c:txPr>
        <c:crossAx val="99186454"/>
      </c:catAx>
      <c:valAx>
        <c:axId val="99186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1A1A1A"/>
                </a:solidFill>
                <a:latin typeface="+mn-lt"/>
              </a:defRPr>
            </a:pPr>
          </a:p>
        </c:txPr>
        <c:crossAx val="96694945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ภาพรวม กปภ.ข.1 vs. เดือน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'ปริมาณ'!$A$70</c:f>
            </c:strRef>
          </c:tx>
          <c:spPr>
            <a:ln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'ปริมาณ'!$B$69:$P$69</c:f>
            </c:strRef>
          </c:cat>
          <c:val>
            <c:numRef>
              <c:f>'ปริมาณ'!$B$70:$P$70</c:f>
              <c:numCache/>
            </c:numRef>
          </c:val>
          <c:smooth val="0"/>
        </c:ser>
        <c:axId val="152287631"/>
        <c:axId val="1099406697"/>
      </c:lineChart>
      <c:catAx>
        <c:axId val="15228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เดือน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099406697"/>
      </c:catAx>
      <c:valAx>
        <c:axId val="1099406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ภาพรวม กปภ.ข.1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2287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26</xdr:row>
      <xdr:rowOff>76200</xdr:rowOff>
    </xdr:from>
    <xdr:ext cx="9715500" cy="386715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</xdr:colOff>
      <xdr:row>25</xdr:row>
      <xdr:rowOff>190500</xdr:rowOff>
    </xdr:from>
    <xdr:ext cx="9563100" cy="3952875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47</xdr:row>
      <xdr:rowOff>28575</xdr:rowOff>
    </xdr:from>
    <xdr:ext cx="9677400" cy="3914775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19050</xdr:colOff>
      <xdr:row>47</xdr:row>
      <xdr:rowOff>28575</xdr:rowOff>
    </xdr:from>
    <xdr:ext cx="9563100" cy="3952875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26</xdr:row>
      <xdr:rowOff>76200</xdr:rowOff>
    </xdr:from>
    <xdr:ext cx="9715500" cy="3867150"/>
    <xdr:graphicFrame>
      <xdr:nvGraphicFramePr>
        <xdr:cNvPr id="5" name="Chart 5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</xdr:colOff>
      <xdr:row>25</xdr:row>
      <xdr:rowOff>190500</xdr:rowOff>
    </xdr:from>
    <xdr:ext cx="9563100" cy="3952875"/>
    <xdr:graphicFrame>
      <xdr:nvGraphicFramePr>
        <xdr:cNvPr id="6" name="Chart 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47</xdr:row>
      <xdr:rowOff>28575</xdr:rowOff>
    </xdr:from>
    <xdr:ext cx="9677400" cy="3914775"/>
    <xdr:graphicFrame>
      <xdr:nvGraphicFramePr>
        <xdr:cNvPr id="7" name="Chart 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19050</xdr:colOff>
      <xdr:row>47</xdr:row>
      <xdr:rowOff>28575</xdr:rowOff>
    </xdr:from>
    <xdr:ext cx="9563100" cy="3952875"/>
    <xdr:graphicFrame>
      <xdr:nvGraphicFramePr>
        <xdr:cNvPr id="8" name="Chart 8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1000125</xdr:colOff>
      <xdr:row>74</xdr:row>
      <xdr:rowOff>123825</xdr:rowOff>
    </xdr:from>
    <xdr:ext cx="805815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7.56"/>
    <col customWidth="1" min="2" max="2" width="12.78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2</v>
      </c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7"/>
    </row>
    <row r="2">
      <c r="A2" s="8"/>
      <c r="B2" s="9"/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7"/>
    </row>
    <row r="3">
      <c r="A3" s="12">
        <v>1.0</v>
      </c>
      <c r="B3" s="11" t="s">
        <v>27</v>
      </c>
      <c r="C3" s="11">
        <v>21.09</v>
      </c>
      <c r="D3" s="11">
        <v>20.51</v>
      </c>
      <c r="E3" s="11">
        <v>22.15</v>
      </c>
      <c r="F3" s="11">
        <v>22.51</v>
      </c>
      <c r="G3" s="11">
        <v>20.07</v>
      </c>
      <c r="H3" s="11">
        <v>19.23</v>
      </c>
      <c r="I3" s="11">
        <v>23.2</v>
      </c>
      <c r="J3" s="11">
        <v>23.36</v>
      </c>
      <c r="K3" s="11">
        <v>22.69</v>
      </c>
      <c r="L3" s="11">
        <v>21.92</v>
      </c>
      <c r="M3" s="11">
        <v>22.5</v>
      </c>
      <c r="N3" s="11">
        <v>20.87</v>
      </c>
      <c r="O3" s="13">
        <f>'ต.ค.68'!H4</f>
        <v>23.19408592</v>
      </c>
      <c r="P3" s="14">
        <f>VLOOKUP(A3,'พ.ย. 68'!$A$2:$N$26,10,1)</f>
        <v>20.79684065</v>
      </c>
      <c r="Q3" s="14">
        <f>VLOOKUP(A3,'ธ.ค. 68'!$A$2:$N$26,10,1)</f>
        <v>20.34041748</v>
      </c>
      <c r="R3" s="1">
        <v>25.47058237457004</v>
      </c>
      <c r="S3" s="15"/>
      <c r="T3" s="15"/>
      <c r="U3" s="15"/>
      <c r="V3" s="15"/>
      <c r="W3" s="15"/>
      <c r="X3" s="15"/>
      <c r="Y3" s="15"/>
      <c r="Z3" s="15"/>
      <c r="AA3" s="7"/>
    </row>
    <row r="4">
      <c r="A4" s="12">
        <v>2.0</v>
      </c>
      <c r="B4" s="11" t="s">
        <v>28</v>
      </c>
      <c r="C4" s="11">
        <v>22.05</v>
      </c>
      <c r="D4" s="11">
        <v>23.02</v>
      </c>
      <c r="E4" s="11">
        <v>15.89</v>
      </c>
      <c r="F4" s="11">
        <v>24.22</v>
      </c>
      <c r="G4" s="11">
        <v>30.77</v>
      </c>
      <c r="H4" s="11">
        <v>14.22</v>
      </c>
      <c r="I4" s="11">
        <v>23.66</v>
      </c>
      <c r="J4" s="11">
        <v>22.13</v>
      </c>
      <c r="K4" s="11">
        <v>27.7</v>
      </c>
      <c r="L4" s="11">
        <v>23.67</v>
      </c>
      <c r="M4" s="11">
        <v>18.18</v>
      </c>
      <c r="N4" s="11">
        <v>18.2</v>
      </c>
      <c r="O4" s="13">
        <f>'ต.ค.68'!H5</f>
        <v>23.49093992</v>
      </c>
      <c r="P4" s="14">
        <f>VLOOKUP(A4,'พ.ย. 68'!$A$2:$N$26,10,1)</f>
        <v>19.96836728</v>
      </c>
      <c r="Q4" s="14">
        <f>VLOOKUP(A4,'ธ.ค. 68'!$A$2:$N$26,10,1)</f>
        <v>22.34649278</v>
      </c>
      <c r="R4" s="8">
        <v>20.26758598854583</v>
      </c>
      <c r="S4" s="15"/>
      <c r="T4" s="15"/>
      <c r="U4" s="15"/>
      <c r="V4" s="15"/>
      <c r="W4" s="15"/>
      <c r="X4" s="15"/>
      <c r="Y4" s="15"/>
      <c r="Z4" s="15"/>
      <c r="AA4" s="7"/>
    </row>
    <row r="5">
      <c r="A5" s="12">
        <v>3.0</v>
      </c>
      <c r="B5" s="11" t="s">
        <v>29</v>
      </c>
      <c r="C5" s="11">
        <v>28.53</v>
      </c>
      <c r="D5" s="11">
        <v>22.39</v>
      </c>
      <c r="E5" s="11">
        <v>28.24</v>
      </c>
      <c r="F5" s="11">
        <v>25.64</v>
      </c>
      <c r="G5" s="11">
        <v>20.19</v>
      </c>
      <c r="H5" s="11">
        <v>24.32</v>
      </c>
      <c r="I5" s="11">
        <v>25.42</v>
      </c>
      <c r="J5" s="11">
        <v>26.11</v>
      </c>
      <c r="K5" s="11">
        <v>25.89</v>
      </c>
      <c r="L5" s="11">
        <v>23.44</v>
      </c>
      <c r="M5" s="11">
        <v>24.96</v>
      </c>
      <c r="N5" s="11">
        <v>26.83</v>
      </c>
      <c r="O5" s="13">
        <f>'ต.ค.68'!H6</f>
        <v>30.73766083</v>
      </c>
      <c r="P5" s="14">
        <f>VLOOKUP(A5,'พ.ย. 68'!$A$2:$N$26,10,1)</f>
        <v>31.88402896</v>
      </c>
      <c r="Q5" s="14">
        <f>VLOOKUP(A5,'ธ.ค. 68'!$A$2:$N$26,10,1)</f>
        <v>35.15110008</v>
      </c>
      <c r="R5" s="8">
        <v>28.591624389765375</v>
      </c>
      <c r="S5" s="15"/>
      <c r="T5" s="15"/>
      <c r="U5" s="15"/>
      <c r="V5" s="15"/>
      <c r="W5" s="15"/>
      <c r="X5" s="15"/>
      <c r="Y5" s="15"/>
      <c r="Z5" s="15"/>
      <c r="AA5" s="7"/>
    </row>
    <row r="6">
      <c r="A6" s="12">
        <v>4.0</v>
      </c>
      <c r="B6" s="11" t="s">
        <v>30</v>
      </c>
      <c r="C6" s="11">
        <v>21.93</v>
      </c>
      <c r="D6" s="11">
        <v>19.46</v>
      </c>
      <c r="E6" s="11">
        <v>24.27</v>
      </c>
      <c r="F6" s="11">
        <v>20.34</v>
      </c>
      <c r="G6" s="11">
        <v>18.32</v>
      </c>
      <c r="H6" s="11">
        <v>19.99</v>
      </c>
      <c r="I6" s="11">
        <v>20.09</v>
      </c>
      <c r="J6" s="11">
        <v>21.77</v>
      </c>
      <c r="K6" s="11">
        <v>20.11</v>
      </c>
      <c r="L6" s="11">
        <v>26.94</v>
      </c>
      <c r="M6" s="11">
        <v>24.26</v>
      </c>
      <c r="N6" s="11">
        <v>20.28</v>
      </c>
      <c r="O6" s="13">
        <f>'ต.ค.68'!H7</f>
        <v>25.61631994</v>
      </c>
      <c r="P6" s="14">
        <f>VLOOKUP(A6,'พ.ย. 68'!$A$2:$N$26,10,1)</f>
        <v>23.07951525</v>
      </c>
      <c r="Q6" s="14">
        <f>VLOOKUP(A6,'ธ.ค. 68'!$A$2:$N$26,10,1)</f>
        <v>24.0344009</v>
      </c>
      <c r="R6" s="8">
        <v>19.648354059370554</v>
      </c>
      <c r="S6" s="15"/>
      <c r="T6" s="15"/>
      <c r="U6" s="15"/>
      <c r="V6" s="15"/>
      <c r="W6" s="15"/>
      <c r="X6" s="15"/>
      <c r="Y6" s="15"/>
      <c r="Z6" s="15"/>
      <c r="AA6" s="7"/>
    </row>
    <row r="7">
      <c r="A7" s="12">
        <v>5.0</v>
      </c>
      <c r="B7" s="11" t="s">
        <v>31</v>
      </c>
      <c r="C7" s="11">
        <v>24.57</v>
      </c>
      <c r="D7" s="11">
        <v>26.22</v>
      </c>
      <c r="E7" s="11">
        <v>25.54</v>
      </c>
      <c r="F7" s="11">
        <v>28.28</v>
      </c>
      <c r="G7" s="11">
        <v>28.94</v>
      </c>
      <c r="H7" s="11">
        <v>29.26</v>
      </c>
      <c r="I7" s="11">
        <v>29.43</v>
      </c>
      <c r="J7" s="11">
        <v>31.61</v>
      </c>
      <c r="K7" s="11">
        <v>34.7</v>
      </c>
      <c r="L7" s="11">
        <v>35.14</v>
      </c>
      <c r="M7" s="11">
        <v>34.82</v>
      </c>
      <c r="N7" s="11">
        <v>30.31</v>
      </c>
      <c r="O7" s="13">
        <f>'ต.ค.68'!H8</f>
        <v>35.48782519</v>
      </c>
      <c r="P7" s="14">
        <f>VLOOKUP(A7,'พ.ย. 68'!$A$2:$N$26,10,1)</f>
        <v>34.95352463</v>
      </c>
      <c r="Q7" s="14">
        <f>VLOOKUP(A7,'ธ.ค. 68'!$A$2:$N$26,10,1)</f>
        <v>37.66655402</v>
      </c>
      <c r="R7" s="8">
        <v>30.68249050852996</v>
      </c>
      <c r="S7" s="15"/>
      <c r="T7" s="15"/>
      <c r="U7" s="15"/>
      <c r="V7" s="15"/>
      <c r="W7" s="15"/>
      <c r="X7" s="15"/>
      <c r="Y7" s="15"/>
      <c r="Z7" s="15"/>
      <c r="AA7" s="7"/>
    </row>
    <row r="8">
      <c r="A8" s="12">
        <v>6.0</v>
      </c>
      <c r="B8" s="11" t="s">
        <v>32</v>
      </c>
      <c r="C8" s="11">
        <v>17.64</v>
      </c>
      <c r="D8" s="11">
        <v>16.38</v>
      </c>
      <c r="E8" s="11">
        <v>15.54</v>
      </c>
      <c r="F8" s="11">
        <v>17.46</v>
      </c>
      <c r="G8" s="11">
        <v>21.77</v>
      </c>
      <c r="H8" s="11">
        <v>24.43</v>
      </c>
      <c r="I8" s="11">
        <v>22.54</v>
      </c>
      <c r="J8" s="11">
        <v>26.39</v>
      </c>
      <c r="K8" s="11">
        <v>24.87</v>
      </c>
      <c r="L8" s="11">
        <v>24.71</v>
      </c>
      <c r="M8" s="11">
        <v>21.91</v>
      </c>
      <c r="N8" s="11">
        <v>22.48</v>
      </c>
      <c r="O8" s="13">
        <f>'ต.ค.68'!H9</f>
        <v>28.39752502</v>
      </c>
      <c r="P8" s="14">
        <f>VLOOKUP(A8,'พ.ย. 68'!$A$2:$N$26,10,1)</f>
        <v>23.05687757</v>
      </c>
      <c r="Q8" s="14">
        <f>VLOOKUP(A8,'ธ.ค. 68'!$A$2:$N$26,10,1)</f>
        <v>28.68556115</v>
      </c>
      <c r="R8" s="8">
        <v>24.373788246829942</v>
      </c>
      <c r="S8" s="15"/>
      <c r="T8" s="15"/>
      <c r="U8" s="15"/>
      <c r="V8" s="15"/>
      <c r="W8" s="15"/>
      <c r="X8" s="15"/>
      <c r="Y8" s="15"/>
      <c r="Z8" s="15"/>
      <c r="AA8" s="7"/>
    </row>
    <row r="9">
      <c r="A9" s="12">
        <v>7.0</v>
      </c>
      <c r="B9" s="11" t="s">
        <v>33</v>
      </c>
      <c r="C9" s="11">
        <v>14.98</v>
      </c>
      <c r="D9" s="11">
        <v>15.03</v>
      </c>
      <c r="E9" s="11">
        <v>14.64</v>
      </c>
      <c r="F9" s="11">
        <v>12.32</v>
      </c>
      <c r="G9" s="11">
        <v>14.08</v>
      </c>
      <c r="H9" s="11">
        <v>14.91</v>
      </c>
      <c r="I9" s="11">
        <v>11.37</v>
      </c>
      <c r="J9" s="11">
        <v>15.88</v>
      </c>
      <c r="K9" s="11">
        <v>13.68</v>
      </c>
      <c r="L9" s="11">
        <v>10.19</v>
      </c>
      <c r="M9" s="11">
        <v>8.67</v>
      </c>
      <c r="N9" s="11">
        <v>9.16</v>
      </c>
      <c r="O9" s="13">
        <f>'ต.ค.68'!H10</f>
        <v>11.32465789</v>
      </c>
      <c r="P9" s="14">
        <f>VLOOKUP(A9,'พ.ย. 68'!$A$2:$N$26,10,1)</f>
        <v>10.24933057</v>
      </c>
      <c r="Q9" s="14">
        <f>VLOOKUP(A9,'ธ.ค. 68'!$A$2:$N$26,10,1)</f>
        <v>6.55242199</v>
      </c>
      <c r="R9" s="16">
        <v>10.86244492725098</v>
      </c>
      <c r="S9" s="15"/>
      <c r="T9" s="15"/>
      <c r="U9" s="15"/>
      <c r="V9" s="15"/>
      <c r="W9" s="15"/>
      <c r="X9" s="15"/>
      <c r="Y9" s="15"/>
      <c r="Z9" s="15"/>
      <c r="AA9" s="7"/>
    </row>
    <row r="10">
      <c r="A10" s="12">
        <v>8.0</v>
      </c>
      <c r="B10" s="11" t="s">
        <v>34</v>
      </c>
      <c r="C10" s="11">
        <v>11.46</v>
      </c>
      <c r="D10" s="11">
        <v>9.99</v>
      </c>
      <c r="E10" s="11">
        <v>11.82</v>
      </c>
      <c r="F10" s="11">
        <v>11.22</v>
      </c>
      <c r="G10" s="11">
        <v>9.14</v>
      </c>
      <c r="H10" s="11">
        <v>8.34</v>
      </c>
      <c r="I10" s="11">
        <v>7.41</v>
      </c>
      <c r="J10" s="11">
        <v>8.04</v>
      </c>
      <c r="K10" s="11">
        <v>10.0</v>
      </c>
      <c r="L10" s="11">
        <v>8.85</v>
      </c>
      <c r="M10" s="11">
        <v>1.17</v>
      </c>
      <c r="N10" s="11">
        <v>7.41</v>
      </c>
      <c r="O10" s="13">
        <f>'ต.ค.68'!H11</f>
        <v>13.45532365</v>
      </c>
      <c r="P10" s="14">
        <f>VLOOKUP(A10,'พ.ย. 68'!$A$2:$N$26,10,1)</f>
        <v>9.602278983</v>
      </c>
      <c r="Q10" s="14">
        <f>VLOOKUP(A10,'ธ.ค. 68'!$A$2:$N$26,10,1)</f>
        <v>12.84630517</v>
      </c>
      <c r="R10" s="8">
        <v>9.883755442368932</v>
      </c>
      <c r="S10" s="15"/>
      <c r="T10" s="15"/>
      <c r="U10" s="15"/>
      <c r="V10" s="15"/>
      <c r="W10" s="15"/>
      <c r="X10" s="15"/>
      <c r="Y10" s="15"/>
      <c r="Z10" s="15"/>
      <c r="AA10" s="7"/>
    </row>
    <row r="11">
      <c r="A11" s="12">
        <v>9.0</v>
      </c>
      <c r="B11" s="11" t="s">
        <v>35</v>
      </c>
      <c r="C11" s="11">
        <v>28.6</v>
      </c>
      <c r="D11" s="11">
        <v>28.21</v>
      </c>
      <c r="E11" s="11">
        <v>27.32</v>
      </c>
      <c r="F11" s="11">
        <v>25.8</v>
      </c>
      <c r="G11" s="11">
        <v>25.83</v>
      </c>
      <c r="H11" s="11">
        <v>27.34</v>
      </c>
      <c r="I11" s="11">
        <v>23.75</v>
      </c>
      <c r="J11" s="11">
        <v>29.65</v>
      </c>
      <c r="K11" s="11">
        <v>29.2</v>
      </c>
      <c r="L11" s="11">
        <v>28.99</v>
      </c>
      <c r="M11" s="11">
        <v>26.97</v>
      </c>
      <c r="N11" s="11">
        <v>22.85</v>
      </c>
      <c r="O11" s="13">
        <f>'ต.ค.68'!H12</f>
        <v>32.46496725</v>
      </c>
      <c r="P11" s="14">
        <f>VLOOKUP(A11,'พ.ย. 68'!$A$2:$N$26,10,1)</f>
        <v>30.6279843</v>
      </c>
      <c r="Q11" s="14">
        <f>VLOOKUP(A11,'ธ.ค. 68'!$A$2:$N$26,10,1)</f>
        <v>30.46790549</v>
      </c>
      <c r="R11" s="8">
        <v>28.161334101237962</v>
      </c>
      <c r="S11" s="15"/>
      <c r="T11" s="15"/>
      <c r="U11" s="15"/>
      <c r="V11" s="15"/>
      <c r="W11" s="15"/>
      <c r="X11" s="15"/>
      <c r="Y11" s="15"/>
      <c r="Z11" s="15"/>
      <c r="AA11" s="7"/>
    </row>
    <row r="12">
      <c r="A12" s="12">
        <v>10.0</v>
      </c>
      <c r="B12" s="11" t="s">
        <v>36</v>
      </c>
      <c r="C12" s="11">
        <v>31.75</v>
      </c>
      <c r="D12" s="11">
        <v>30.74</v>
      </c>
      <c r="E12" s="11">
        <v>30.06</v>
      </c>
      <c r="F12" s="11">
        <v>37.11</v>
      </c>
      <c r="G12" s="11">
        <v>35.32</v>
      </c>
      <c r="H12" s="11">
        <v>24.22</v>
      </c>
      <c r="I12" s="11">
        <v>31.16</v>
      </c>
      <c r="J12" s="11">
        <v>31.38</v>
      </c>
      <c r="K12" s="11">
        <v>30.63</v>
      </c>
      <c r="L12" s="11">
        <v>31.38</v>
      </c>
      <c r="M12" s="11">
        <v>30.12</v>
      </c>
      <c r="N12" s="11">
        <v>28.45</v>
      </c>
      <c r="O12" s="13">
        <f>'ต.ค.68'!H13</f>
        <v>30.02214685</v>
      </c>
      <c r="P12" s="14">
        <f>VLOOKUP(A12,'พ.ย. 68'!$A$2:$N$26,10,1)</f>
        <v>25.03315373</v>
      </c>
      <c r="Q12" s="14">
        <f>VLOOKUP(A12,'ธ.ค. 68'!$A$2:$N$26,10,1)</f>
        <v>29.36993435</v>
      </c>
      <c r="R12" s="8">
        <v>28.79609515090118</v>
      </c>
      <c r="S12" s="15"/>
      <c r="T12" s="15"/>
      <c r="U12" s="15"/>
      <c r="V12" s="15"/>
      <c r="W12" s="15"/>
      <c r="X12" s="15"/>
      <c r="Y12" s="15"/>
      <c r="Z12" s="15"/>
      <c r="AA12" s="7"/>
    </row>
    <row r="13">
      <c r="A13" s="12">
        <v>11.0</v>
      </c>
      <c r="B13" s="11" t="s">
        <v>37</v>
      </c>
      <c r="C13" s="11">
        <v>15.58</v>
      </c>
      <c r="D13" s="11">
        <v>12.55</v>
      </c>
      <c r="E13" s="11">
        <v>11.33</v>
      </c>
      <c r="F13" s="11">
        <v>15.62</v>
      </c>
      <c r="G13" s="11">
        <v>14.14</v>
      </c>
      <c r="H13" s="11">
        <v>10.23</v>
      </c>
      <c r="I13" s="11">
        <v>10.58</v>
      </c>
      <c r="J13" s="11">
        <v>17.03</v>
      </c>
      <c r="K13" s="11">
        <v>13.29</v>
      </c>
      <c r="L13" s="11">
        <v>16.44</v>
      </c>
      <c r="M13" s="11">
        <v>13.21</v>
      </c>
      <c r="N13" s="11">
        <v>11.06</v>
      </c>
      <c r="O13" s="13">
        <f>'ต.ค.68'!H14</f>
        <v>16.07766228</v>
      </c>
      <c r="P13" s="14">
        <f>VLOOKUP(A13,'พ.ย. 68'!$A$2:$N$26,10,1)</f>
        <v>8.992810919</v>
      </c>
      <c r="Q13" s="14">
        <f>VLOOKUP(A13,'ธ.ค. 68'!$A$2:$N$26,10,1)</f>
        <v>14.10088933</v>
      </c>
      <c r="R13" s="8">
        <v>7.76555328247451</v>
      </c>
      <c r="S13" s="15"/>
      <c r="T13" s="15"/>
      <c r="U13" s="15"/>
      <c r="V13" s="15"/>
      <c r="W13" s="15"/>
      <c r="X13" s="15"/>
      <c r="Y13" s="15"/>
      <c r="Z13" s="15"/>
      <c r="AA13" s="7"/>
    </row>
    <row r="14">
      <c r="A14" s="12">
        <v>12.0</v>
      </c>
      <c r="B14" s="11" t="s">
        <v>38</v>
      </c>
      <c r="C14" s="11">
        <v>34.95</v>
      </c>
      <c r="D14" s="11">
        <v>30.6</v>
      </c>
      <c r="E14" s="11">
        <v>32.0</v>
      </c>
      <c r="F14" s="11">
        <v>30.6</v>
      </c>
      <c r="G14" s="11">
        <v>31.93</v>
      </c>
      <c r="H14" s="11">
        <v>27.37</v>
      </c>
      <c r="I14" s="11">
        <v>26.22</v>
      </c>
      <c r="J14" s="11">
        <v>27.27</v>
      </c>
      <c r="K14" s="11">
        <v>17.98</v>
      </c>
      <c r="L14" s="11">
        <v>20.11</v>
      </c>
      <c r="M14" s="11">
        <v>22.09</v>
      </c>
      <c r="N14" s="11">
        <v>24.17</v>
      </c>
      <c r="O14" s="13">
        <f>'ต.ค.68'!H15</f>
        <v>26.17153267</v>
      </c>
      <c r="P14" s="14">
        <f>VLOOKUP(A14,'พ.ย. 68'!$A$2:$N$26,10,1)</f>
        <v>27.25459277</v>
      </c>
      <c r="Q14" s="14">
        <f>VLOOKUP(A14,'ธ.ค. 68'!$A$2:$N$26,10,1)</f>
        <v>28.29786106</v>
      </c>
      <c r="R14" s="8">
        <v>25.807357053213504</v>
      </c>
      <c r="S14" s="15"/>
      <c r="T14" s="15"/>
      <c r="U14" s="15"/>
      <c r="V14" s="15"/>
      <c r="W14" s="15"/>
      <c r="X14" s="15"/>
      <c r="Y14" s="15"/>
      <c r="Z14" s="15"/>
      <c r="AA14" s="7"/>
    </row>
    <row r="15">
      <c r="A15" s="12">
        <v>13.0</v>
      </c>
      <c r="B15" s="11" t="s">
        <v>39</v>
      </c>
      <c r="C15" s="11">
        <v>54.72</v>
      </c>
      <c r="D15" s="11">
        <v>52.5</v>
      </c>
      <c r="E15" s="11">
        <v>48.14</v>
      </c>
      <c r="F15" s="11">
        <v>47.43</v>
      </c>
      <c r="G15" s="11">
        <v>42.45</v>
      </c>
      <c r="H15" s="11">
        <v>44.1</v>
      </c>
      <c r="I15" s="11">
        <v>44.45</v>
      </c>
      <c r="J15" s="11">
        <v>46.27</v>
      </c>
      <c r="K15" s="11">
        <v>42.25</v>
      </c>
      <c r="L15" s="11">
        <v>50.47</v>
      </c>
      <c r="M15" s="11">
        <v>46.35</v>
      </c>
      <c r="N15" s="11">
        <v>45.09</v>
      </c>
      <c r="O15" s="13">
        <f>'ต.ค.68'!H16</f>
        <v>50.20839956</v>
      </c>
      <c r="P15" s="14">
        <f>VLOOKUP(A15,'พ.ย. 68'!$A$2:$N$26,10,1)</f>
        <v>43.2194551</v>
      </c>
      <c r="Q15" s="14">
        <f>VLOOKUP(A15,'ธ.ค. 68'!$A$2:$N$26,10,1)</f>
        <v>37.24192402</v>
      </c>
      <c r="R15" s="8">
        <v>41.869154894301836</v>
      </c>
      <c r="S15" s="15"/>
      <c r="T15" s="15"/>
      <c r="U15" s="15"/>
      <c r="V15" s="15"/>
      <c r="W15" s="15"/>
      <c r="X15" s="15"/>
      <c r="Y15" s="15"/>
      <c r="Z15" s="15"/>
      <c r="AA15" s="7"/>
    </row>
    <row r="16">
      <c r="A16" s="12">
        <v>14.0</v>
      </c>
      <c r="B16" s="11" t="s">
        <v>40</v>
      </c>
      <c r="C16" s="11">
        <v>31.21</v>
      </c>
      <c r="D16" s="11">
        <v>34.11</v>
      </c>
      <c r="E16" s="11">
        <v>31.73</v>
      </c>
      <c r="F16" s="11">
        <v>35.62</v>
      </c>
      <c r="G16" s="11">
        <v>32.7</v>
      </c>
      <c r="H16" s="11">
        <v>31.94</v>
      </c>
      <c r="I16" s="11">
        <v>29.21</v>
      </c>
      <c r="J16" s="11">
        <v>32.85</v>
      </c>
      <c r="K16" s="11">
        <v>27.63</v>
      </c>
      <c r="L16" s="11">
        <v>33.08</v>
      </c>
      <c r="M16" s="11">
        <v>34.77</v>
      </c>
      <c r="N16" s="11">
        <v>35.12</v>
      </c>
      <c r="O16" s="13">
        <f>'ต.ค.68'!H17</f>
        <v>33.41347527</v>
      </c>
      <c r="P16" s="14">
        <f>VLOOKUP(A16,'พ.ย. 68'!$A$2:$N$26,10,1)</f>
        <v>31.55969766</v>
      </c>
      <c r="Q16" s="14">
        <f>VLOOKUP(A16,'ธ.ค. 68'!$A$2:$N$26,10,1)</f>
        <v>32.43758812</v>
      </c>
      <c r="R16" s="8">
        <v>37.86050642586892</v>
      </c>
      <c r="S16" s="15"/>
      <c r="T16" s="15"/>
      <c r="U16" s="15"/>
      <c r="V16" s="15"/>
      <c r="W16" s="15"/>
      <c r="X16" s="15"/>
      <c r="Y16" s="15"/>
      <c r="Z16" s="15"/>
      <c r="AA16" s="7"/>
    </row>
    <row r="17">
      <c r="A17" s="12">
        <v>15.0</v>
      </c>
      <c r="B17" s="11" t="s">
        <v>41</v>
      </c>
      <c r="C17" s="11">
        <v>50.5</v>
      </c>
      <c r="D17" s="11">
        <v>48.62</v>
      </c>
      <c r="E17" s="11">
        <v>46.29</v>
      </c>
      <c r="F17" s="11">
        <v>46.9</v>
      </c>
      <c r="G17" s="11">
        <v>48.63</v>
      </c>
      <c r="H17" s="11">
        <v>47.59</v>
      </c>
      <c r="I17" s="11">
        <v>44.7</v>
      </c>
      <c r="J17" s="11">
        <v>49.69</v>
      </c>
      <c r="K17" s="11">
        <v>42.53</v>
      </c>
      <c r="L17" s="11">
        <v>52.85</v>
      </c>
      <c r="M17" s="11">
        <v>53.09</v>
      </c>
      <c r="N17" s="11">
        <v>55.4</v>
      </c>
      <c r="O17" s="13">
        <f>'ต.ค.68'!H18</f>
        <v>57.44945609</v>
      </c>
      <c r="P17" s="14">
        <f>VLOOKUP(A17,'พ.ย. 68'!$A$2:$N$26,10,1)</f>
        <v>52.13837979</v>
      </c>
      <c r="Q17" s="14">
        <f>VLOOKUP(A17,'ธ.ค. 68'!$A$2:$N$26,10,1)</f>
        <v>55.33242439</v>
      </c>
      <c r="R17" s="8">
        <v>51.18837870126013</v>
      </c>
      <c r="S17" s="15"/>
      <c r="T17" s="15"/>
      <c r="U17" s="15"/>
      <c r="V17" s="15"/>
      <c r="W17" s="15"/>
      <c r="X17" s="15"/>
      <c r="Y17" s="15"/>
      <c r="Z17" s="15"/>
      <c r="AA17" s="7"/>
    </row>
    <row r="18">
      <c r="A18" s="12">
        <v>16.0</v>
      </c>
      <c r="B18" s="11" t="s">
        <v>42</v>
      </c>
      <c r="C18" s="11">
        <v>65.12</v>
      </c>
      <c r="D18" s="11">
        <v>62.87</v>
      </c>
      <c r="E18" s="11">
        <v>62.45</v>
      </c>
      <c r="F18" s="11">
        <v>55.68</v>
      </c>
      <c r="G18" s="11">
        <v>58.17</v>
      </c>
      <c r="H18" s="11">
        <v>55.96</v>
      </c>
      <c r="I18" s="11">
        <v>53.01</v>
      </c>
      <c r="J18" s="11">
        <v>56.69</v>
      </c>
      <c r="K18" s="11">
        <v>55.31</v>
      </c>
      <c r="L18" s="11">
        <v>60.28</v>
      </c>
      <c r="M18" s="11">
        <v>59.32</v>
      </c>
      <c r="N18" s="11">
        <v>58.0</v>
      </c>
      <c r="O18" s="13">
        <f>'ต.ค.68'!H19</f>
        <v>61.58302773</v>
      </c>
      <c r="P18" s="14">
        <f>VLOOKUP(A18,'พ.ย. 68'!$A$2:$N$26,10,1)</f>
        <v>56.45625511</v>
      </c>
      <c r="Q18" s="14">
        <f>VLOOKUP(A18,'ธ.ค. 68'!$A$2:$N$26,10,1)</f>
        <v>61.64170297</v>
      </c>
      <c r="R18" s="8">
        <v>55.391441628325076</v>
      </c>
      <c r="S18" s="15"/>
      <c r="T18" s="15"/>
      <c r="U18" s="15"/>
      <c r="V18" s="15"/>
      <c r="W18" s="15"/>
      <c r="X18" s="15"/>
      <c r="Y18" s="15"/>
      <c r="Z18" s="15"/>
      <c r="AA18" s="7"/>
    </row>
    <row r="19">
      <c r="A19" s="12">
        <v>17.0</v>
      </c>
      <c r="B19" s="11" t="s">
        <v>43</v>
      </c>
      <c r="C19" s="11">
        <v>49.77</v>
      </c>
      <c r="D19" s="11">
        <v>38.47</v>
      </c>
      <c r="E19" s="11">
        <v>38.86</v>
      </c>
      <c r="F19" s="11">
        <v>38.74</v>
      </c>
      <c r="G19" s="11">
        <v>39.93</v>
      </c>
      <c r="H19" s="11">
        <v>40.16</v>
      </c>
      <c r="I19" s="11">
        <v>40.0</v>
      </c>
      <c r="J19" s="11">
        <v>40.89</v>
      </c>
      <c r="K19" s="11">
        <v>40.41</v>
      </c>
      <c r="L19" s="11">
        <v>47.46</v>
      </c>
      <c r="M19" s="11">
        <v>46.56</v>
      </c>
      <c r="N19" s="11">
        <v>46.92</v>
      </c>
      <c r="O19" s="13">
        <f>'ต.ค.68'!H20</f>
        <v>58.62361162</v>
      </c>
      <c r="P19" s="14">
        <f>VLOOKUP(A19,'พ.ย. 68'!$A$2:$N$26,10,1)</f>
        <v>25.55983969</v>
      </c>
      <c r="Q19" s="14">
        <f>VLOOKUP(A19,'ธ.ค. 68'!$A$2:$N$26,10,1)</f>
        <v>54.4284855</v>
      </c>
      <c r="R19" s="8">
        <v>58.37298692878562</v>
      </c>
      <c r="S19" s="15"/>
      <c r="T19" s="15"/>
      <c r="U19" s="15"/>
      <c r="V19" s="15"/>
      <c r="W19" s="15"/>
      <c r="X19" s="15"/>
      <c r="Y19" s="15"/>
      <c r="Z19" s="15"/>
      <c r="AA19" s="7"/>
    </row>
    <row r="20">
      <c r="A20" s="12">
        <v>18.0</v>
      </c>
      <c r="B20" s="11" t="s">
        <v>44</v>
      </c>
      <c r="C20" s="11">
        <v>32.76</v>
      </c>
      <c r="D20" s="11">
        <v>42.03</v>
      </c>
      <c r="E20" s="11">
        <v>42.06</v>
      </c>
      <c r="F20" s="11">
        <v>39.58</v>
      </c>
      <c r="G20" s="11">
        <v>34.77</v>
      </c>
      <c r="H20" s="11">
        <v>37.38</v>
      </c>
      <c r="I20" s="11">
        <v>33.75</v>
      </c>
      <c r="J20" s="11">
        <v>45.38</v>
      </c>
      <c r="K20" s="11">
        <v>33.55</v>
      </c>
      <c r="L20" s="11">
        <v>38.71</v>
      </c>
      <c r="M20" s="11">
        <v>35.38</v>
      </c>
      <c r="N20" s="11">
        <v>35.56</v>
      </c>
      <c r="O20" s="13">
        <f>'ต.ค.68'!H21</f>
        <v>42.80172425</v>
      </c>
      <c r="P20" s="14">
        <f>VLOOKUP(A20,'พ.ย. 68'!$A$2:$N$26,10,1)</f>
        <v>38.07696583</v>
      </c>
      <c r="Q20" s="14">
        <f>VLOOKUP(A20,'ธ.ค. 68'!$A$2:$N$26,10,1)</f>
        <v>43.67715835</v>
      </c>
      <c r="R20" s="8">
        <v>38.568014829916336</v>
      </c>
      <c r="S20" s="15"/>
      <c r="T20" s="15"/>
      <c r="U20" s="15"/>
      <c r="V20" s="15"/>
      <c r="W20" s="15"/>
      <c r="X20" s="15"/>
      <c r="Y20" s="15"/>
      <c r="Z20" s="15"/>
      <c r="AA20" s="7"/>
    </row>
    <row r="21">
      <c r="A21" s="12">
        <v>19.0</v>
      </c>
      <c r="B21" s="11" t="s">
        <v>45</v>
      </c>
      <c r="C21" s="11">
        <v>23.66</v>
      </c>
      <c r="D21" s="11">
        <v>26.76</v>
      </c>
      <c r="E21" s="11">
        <v>14.22</v>
      </c>
      <c r="F21" s="11">
        <v>15.88</v>
      </c>
      <c r="G21" s="11">
        <v>13.57</v>
      </c>
      <c r="H21" s="11">
        <v>17.77</v>
      </c>
      <c r="I21" s="11">
        <v>19.3</v>
      </c>
      <c r="J21" s="11">
        <v>22.11</v>
      </c>
      <c r="K21" s="11">
        <v>24.03</v>
      </c>
      <c r="L21" s="11">
        <v>28.38</v>
      </c>
      <c r="M21" s="11">
        <v>25.04</v>
      </c>
      <c r="N21" s="11">
        <v>19.45</v>
      </c>
      <c r="O21" s="13">
        <f>'ต.ค.68'!H22</f>
        <v>24.66582078</v>
      </c>
      <c r="P21" s="14">
        <f>VLOOKUP(A21,'พ.ย. 68'!$A$2:$N$26,10,1)</f>
        <v>18.9737431</v>
      </c>
      <c r="Q21" s="14">
        <f>VLOOKUP(A21,'ธ.ค. 68'!$A$2:$N$26,10,1)</f>
        <v>23.17045003</v>
      </c>
      <c r="R21" s="8">
        <v>19.89463937933016</v>
      </c>
      <c r="S21" s="15"/>
      <c r="T21" s="15"/>
      <c r="U21" s="15"/>
      <c r="V21" s="15"/>
      <c r="W21" s="15"/>
      <c r="X21" s="15"/>
      <c r="Y21" s="15"/>
      <c r="Z21" s="15"/>
      <c r="AA21" s="7"/>
    </row>
    <row r="22">
      <c r="A22" s="12">
        <v>20.0</v>
      </c>
      <c r="B22" s="11" t="s">
        <v>46</v>
      </c>
      <c r="C22" s="11">
        <v>23.87</v>
      </c>
      <c r="D22" s="11">
        <v>30.02</v>
      </c>
      <c r="E22" s="11">
        <v>34.43</v>
      </c>
      <c r="F22" s="11">
        <v>33.54</v>
      </c>
      <c r="G22" s="11">
        <v>28.18</v>
      </c>
      <c r="H22" s="11">
        <v>33.13</v>
      </c>
      <c r="I22" s="11">
        <v>33.99</v>
      </c>
      <c r="J22" s="11">
        <v>33.86</v>
      </c>
      <c r="K22" s="11">
        <v>35.19</v>
      </c>
      <c r="L22" s="11">
        <v>33.21</v>
      </c>
      <c r="M22" s="11">
        <v>32.07</v>
      </c>
      <c r="N22" s="11">
        <v>36.18</v>
      </c>
      <c r="O22" s="13">
        <f>'ต.ค.68'!H23</f>
        <v>39.5273921</v>
      </c>
      <c r="P22" s="14">
        <f>VLOOKUP(A22,'พ.ย. 68'!$A$2:$N$26,10,1)</f>
        <v>40.00462409</v>
      </c>
      <c r="Q22" s="14">
        <f>VLOOKUP(A22,'ธ.ค. 68'!$A$2:$N$26,10,1)</f>
        <v>43.1525094</v>
      </c>
      <c r="R22" s="8">
        <v>42.51435130302752</v>
      </c>
      <c r="S22" s="15"/>
      <c r="T22" s="15"/>
      <c r="U22" s="15"/>
      <c r="V22" s="15"/>
      <c r="W22" s="15"/>
      <c r="X22" s="15"/>
      <c r="Y22" s="15"/>
      <c r="Z22" s="15"/>
      <c r="AA22" s="7"/>
    </row>
    <row r="23">
      <c r="A23" s="17">
        <v>21.0</v>
      </c>
      <c r="B23" s="11" t="s">
        <v>47</v>
      </c>
      <c r="C23" s="11">
        <v>48.12</v>
      </c>
      <c r="D23" s="11">
        <v>47.7</v>
      </c>
      <c r="E23" s="11">
        <v>45.34</v>
      </c>
      <c r="F23" s="11">
        <v>39.58</v>
      </c>
      <c r="G23" s="11">
        <v>45.95</v>
      </c>
      <c r="H23" s="11">
        <v>44.22</v>
      </c>
      <c r="I23" s="11">
        <v>45.59</v>
      </c>
      <c r="J23" s="11">
        <v>48.24</v>
      </c>
      <c r="K23" s="11">
        <v>47.25</v>
      </c>
      <c r="L23" s="11">
        <v>46.77</v>
      </c>
      <c r="M23" s="11">
        <v>48.58</v>
      </c>
      <c r="N23" s="11">
        <v>48.68</v>
      </c>
      <c r="O23" s="13">
        <f>'ต.ค.68'!H24</f>
        <v>52.8634051</v>
      </c>
      <c r="P23" s="14">
        <f>VLOOKUP(A23,'พ.ย. 68'!$A$2:$N$26,10,1)</f>
        <v>49.39584858</v>
      </c>
      <c r="Q23" s="14">
        <f>VLOOKUP(A23,'ธ.ค. 68'!$A$2:$N$26,10,1)</f>
        <v>47.6543896</v>
      </c>
      <c r="R23" s="8">
        <v>48.980718449385705</v>
      </c>
      <c r="S23" s="15"/>
      <c r="T23" s="15"/>
      <c r="U23" s="15"/>
      <c r="V23" s="15"/>
      <c r="W23" s="15"/>
      <c r="X23" s="15"/>
      <c r="Y23" s="15"/>
      <c r="Z23" s="15"/>
      <c r="AA23" s="7"/>
    </row>
    <row r="24">
      <c r="A24" s="17">
        <v>22.0</v>
      </c>
      <c r="B24" s="11" t="s">
        <v>48</v>
      </c>
      <c r="C24" s="11">
        <v>35.79</v>
      </c>
      <c r="D24" s="11">
        <v>37.37</v>
      </c>
      <c r="E24" s="11">
        <v>36.74</v>
      </c>
      <c r="F24" s="11">
        <v>32.68</v>
      </c>
      <c r="G24" s="11">
        <v>40.85</v>
      </c>
      <c r="H24" s="11">
        <v>33.13</v>
      </c>
      <c r="I24" s="11">
        <v>31.63</v>
      </c>
      <c r="J24" s="11">
        <v>31.68</v>
      </c>
      <c r="K24" s="11">
        <v>29.51</v>
      </c>
      <c r="L24" s="11">
        <v>32.23</v>
      </c>
      <c r="M24" s="11">
        <v>30.41</v>
      </c>
      <c r="N24" s="11">
        <v>29.4</v>
      </c>
      <c r="O24" s="13">
        <f>'ต.ค.68'!H25</f>
        <v>34.61324061</v>
      </c>
      <c r="P24" s="14">
        <f>VLOOKUP(A24,'พ.ย. 68'!$A$2:$N$26,10,1)</f>
        <v>31.36502101</v>
      </c>
      <c r="Q24" s="14">
        <f>VLOOKUP(A24,'ธ.ค. 68'!$A$2:$N$26,10,1)</f>
        <v>32.87500707</v>
      </c>
      <c r="R24" s="8">
        <v>28.88816781780515</v>
      </c>
      <c r="S24" s="15"/>
      <c r="T24" s="15"/>
      <c r="U24" s="15"/>
      <c r="V24" s="15"/>
      <c r="W24" s="15"/>
      <c r="X24" s="15"/>
      <c r="Y24" s="15"/>
      <c r="Z24" s="15"/>
      <c r="AA24" s="7"/>
    </row>
    <row r="25">
      <c r="A25" s="17">
        <v>23.0</v>
      </c>
      <c r="B25" s="11" t="s">
        <v>49</v>
      </c>
      <c r="C25" s="11">
        <v>27.8</v>
      </c>
      <c r="D25" s="11">
        <v>26.99</v>
      </c>
      <c r="E25" s="11">
        <v>26.26</v>
      </c>
      <c r="F25" s="11">
        <v>27.02</v>
      </c>
      <c r="G25" s="11">
        <v>27.75</v>
      </c>
      <c r="H25" s="11">
        <v>24.64</v>
      </c>
      <c r="I25" s="11">
        <v>25.94</v>
      </c>
      <c r="J25" s="11">
        <v>27.83</v>
      </c>
      <c r="K25" s="11">
        <v>26.93</v>
      </c>
      <c r="L25" s="11">
        <v>27.54</v>
      </c>
      <c r="M25" s="11">
        <v>25.97</v>
      </c>
      <c r="N25" s="11">
        <v>25.34</v>
      </c>
      <c r="O25" s="13">
        <f>'ต.ค.68'!H26</f>
        <v>29.7076207</v>
      </c>
      <c r="P25" s="14">
        <f>VLOOKUP(A25,'พ.ย. 68'!$A$2:$N$26,10,1)</f>
        <v>26.84339548</v>
      </c>
      <c r="Q25" s="14">
        <f>VLOOKUP(A25,'ธ.ค. 68'!$A$2:$N$26,10,1)</f>
        <v>28.65516631</v>
      </c>
      <c r="R25" s="18">
        <v>27.128638759402257</v>
      </c>
      <c r="S25" s="15"/>
      <c r="T25" s="15"/>
      <c r="U25" s="15"/>
      <c r="V25" s="15"/>
      <c r="W25" s="15"/>
      <c r="X25" s="15"/>
      <c r="Y25" s="15"/>
      <c r="Z25" s="15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3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L27" s="7"/>
      <c r="M27" s="7"/>
      <c r="W27" s="7"/>
      <c r="X27" s="7"/>
      <c r="Y27" s="7"/>
      <c r="Z27" s="7"/>
      <c r="AA27" s="7"/>
    </row>
    <row r="28">
      <c r="A28" s="7"/>
      <c r="L28" s="7"/>
      <c r="W28" s="7"/>
      <c r="X28" s="7"/>
      <c r="Y28" s="7"/>
      <c r="Z28" s="7"/>
      <c r="AA28" s="7"/>
    </row>
    <row r="29">
      <c r="A29" s="7"/>
      <c r="L29" s="7"/>
      <c r="W29" s="7"/>
      <c r="X29" s="7"/>
      <c r="Y29" s="7"/>
      <c r="Z29" s="7"/>
      <c r="AA29" s="7"/>
    </row>
    <row r="30">
      <c r="A30" s="7"/>
      <c r="L30" s="7"/>
      <c r="W30" s="7"/>
      <c r="X30" s="7"/>
      <c r="Y30" s="7"/>
      <c r="Z30" s="7"/>
      <c r="AA30" s="7"/>
    </row>
    <row r="31">
      <c r="A31" s="7"/>
      <c r="L31" s="7"/>
      <c r="W31" s="7"/>
      <c r="X31" s="7"/>
      <c r="Y31" s="7"/>
      <c r="Z31" s="7"/>
      <c r="AA31" s="7"/>
    </row>
    <row r="32">
      <c r="A32" s="7"/>
      <c r="L32" s="7"/>
      <c r="W32" s="7"/>
      <c r="X32" s="7"/>
      <c r="Y32" s="7"/>
      <c r="Z32" s="7"/>
      <c r="AA32" s="7"/>
    </row>
    <row r="33">
      <c r="A33" s="7"/>
      <c r="L33" s="7"/>
      <c r="W33" s="7"/>
      <c r="X33" s="7"/>
      <c r="Y33" s="7"/>
      <c r="Z33" s="7"/>
      <c r="AA33" s="7"/>
    </row>
    <row r="34">
      <c r="A34" s="7"/>
      <c r="L34" s="7"/>
      <c r="W34" s="7"/>
      <c r="X34" s="7"/>
      <c r="Y34" s="7"/>
      <c r="Z34" s="7"/>
      <c r="AA34" s="7"/>
    </row>
    <row r="35">
      <c r="A35" s="7"/>
      <c r="L35" s="7"/>
      <c r="W35" s="7"/>
      <c r="X35" s="7"/>
      <c r="Y35" s="7"/>
      <c r="Z35" s="7"/>
      <c r="AA35" s="7"/>
    </row>
    <row r="36">
      <c r="A36" s="7"/>
      <c r="L36" s="7"/>
      <c r="W36" s="7"/>
      <c r="X36" s="7"/>
      <c r="Y36" s="7"/>
      <c r="Z36" s="7"/>
      <c r="AA36" s="7"/>
    </row>
    <row r="37">
      <c r="A37" s="7"/>
      <c r="L37" s="7"/>
      <c r="W37" s="7"/>
      <c r="X37" s="7"/>
      <c r="Y37" s="7"/>
      <c r="Z37" s="7"/>
      <c r="AA37" s="7"/>
    </row>
    <row r="38">
      <c r="A38" s="7"/>
      <c r="L38" s="7"/>
      <c r="W38" s="7"/>
      <c r="X38" s="7"/>
      <c r="Y38" s="7"/>
      <c r="Z38" s="7"/>
      <c r="AA38" s="7"/>
    </row>
    <row r="39">
      <c r="A39" s="7"/>
      <c r="L39" s="7"/>
      <c r="W39" s="7"/>
      <c r="X39" s="7"/>
      <c r="Y39" s="7"/>
      <c r="Z39" s="7"/>
      <c r="AA39" s="7"/>
    </row>
    <row r="40">
      <c r="A40" s="7"/>
      <c r="L40" s="7"/>
      <c r="W40" s="7"/>
      <c r="X40" s="7"/>
      <c r="Y40" s="7"/>
      <c r="Z40" s="7"/>
      <c r="AA40" s="7"/>
    </row>
    <row r="41">
      <c r="A41" s="7"/>
      <c r="L41" s="7"/>
      <c r="W41" s="7"/>
      <c r="X41" s="7"/>
      <c r="Y41" s="7"/>
      <c r="Z41" s="7"/>
      <c r="AA41" s="7"/>
    </row>
    <row r="42">
      <c r="A42" s="7"/>
      <c r="L42" s="7"/>
      <c r="W42" s="7"/>
      <c r="X42" s="7"/>
      <c r="Y42" s="7"/>
      <c r="Z42" s="7"/>
      <c r="AA42" s="7"/>
    </row>
    <row r="43">
      <c r="A43" s="7"/>
      <c r="L43" s="7"/>
      <c r="W43" s="7"/>
      <c r="X43" s="7"/>
      <c r="Y43" s="7"/>
      <c r="Z43" s="7"/>
      <c r="AA43" s="7"/>
    </row>
    <row r="44">
      <c r="A44" s="7"/>
      <c r="L44" s="7"/>
      <c r="W44" s="7"/>
      <c r="X44" s="7"/>
      <c r="Y44" s="7"/>
      <c r="Z44" s="7"/>
      <c r="AA44" s="7"/>
    </row>
    <row r="45">
      <c r="A45" s="7"/>
      <c r="L45" s="7"/>
      <c r="W45" s="7"/>
      <c r="X45" s="7"/>
      <c r="Y45" s="7"/>
      <c r="Z45" s="7"/>
      <c r="AA45" s="7"/>
    </row>
    <row r="46">
      <c r="A46" s="7"/>
      <c r="L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L48" s="7"/>
      <c r="M48" s="7"/>
      <c r="W48" s="7"/>
      <c r="X48" s="7"/>
      <c r="Y48" s="7"/>
      <c r="Z48" s="7"/>
      <c r="AA48" s="7"/>
    </row>
    <row r="49">
      <c r="A49" s="7"/>
      <c r="L49" s="7"/>
      <c r="W49" s="7"/>
      <c r="X49" s="7"/>
      <c r="Y49" s="7"/>
      <c r="Z49" s="7"/>
      <c r="AA49" s="7"/>
    </row>
    <row r="50">
      <c r="A50" s="7"/>
      <c r="L50" s="7"/>
      <c r="W50" s="7"/>
      <c r="X50" s="7"/>
      <c r="Y50" s="7"/>
      <c r="Z50" s="7"/>
      <c r="AA50" s="7"/>
    </row>
    <row r="51">
      <c r="A51" s="7"/>
      <c r="L51" s="7"/>
      <c r="W51" s="7"/>
      <c r="X51" s="7"/>
      <c r="Y51" s="7"/>
      <c r="Z51" s="7"/>
      <c r="AA51" s="7"/>
    </row>
    <row r="52">
      <c r="A52" s="7"/>
      <c r="L52" s="7"/>
      <c r="W52" s="7"/>
      <c r="X52" s="7"/>
      <c r="Y52" s="7"/>
      <c r="Z52" s="7"/>
      <c r="AA52" s="7"/>
    </row>
    <row r="53">
      <c r="A53" s="7"/>
      <c r="L53" s="7"/>
      <c r="W53" s="7"/>
      <c r="X53" s="7"/>
      <c r="Y53" s="7"/>
      <c r="Z53" s="7"/>
      <c r="AA53" s="7"/>
    </row>
    <row r="54">
      <c r="A54" s="7"/>
      <c r="L54" s="7"/>
      <c r="W54" s="7"/>
      <c r="X54" s="7"/>
      <c r="Y54" s="7"/>
      <c r="Z54" s="7"/>
      <c r="AA54" s="7"/>
    </row>
    <row r="55">
      <c r="A55" s="7"/>
      <c r="L55" s="7"/>
      <c r="W55" s="7"/>
      <c r="X55" s="7"/>
      <c r="Y55" s="7"/>
      <c r="Z55" s="7"/>
      <c r="AA55" s="7"/>
    </row>
    <row r="56">
      <c r="A56" s="7"/>
      <c r="L56" s="7"/>
      <c r="W56" s="7"/>
      <c r="X56" s="7"/>
      <c r="Y56" s="7"/>
      <c r="Z56" s="7"/>
      <c r="AA56" s="7"/>
    </row>
    <row r="57">
      <c r="A57" s="7"/>
      <c r="L57" s="7"/>
      <c r="W57" s="7"/>
      <c r="X57" s="7"/>
      <c r="Y57" s="7"/>
      <c r="Z57" s="7"/>
      <c r="AA57" s="7"/>
    </row>
    <row r="58">
      <c r="A58" s="7"/>
      <c r="L58" s="7"/>
      <c r="W58" s="7"/>
      <c r="X58" s="7"/>
      <c r="Y58" s="7"/>
      <c r="Z58" s="7"/>
      <c r="AA58" s="7"/>
    </row>
    <row r="59">
      <c r="A59" s="7"/>
      <c r="L59" s="7"/>
      <c r="W59" s="7"/>
      <c r="X59" s="7"/>
      <c r="Y59" s="7"/>
      <c r="Z59" s="7"/>
      <c r="AA59" s="7"/>
    </row>
    <row r="60">
      <c r="A60" s="7"/>
      <c r="L60" s="7"/>
      <c r="W60" s="7"/>
      <c r="X60" s="7"/>
      <c r="Y60" s="7"/>
      <c r="Z60" s="7"/>
      <c r="AA60" s="7"/>
    </row>
    <row r="61">
      <c r="A61" s="7"/>
      <c r="L61" s="7"/>
      <c r="W61" s="7"/>
      <c r="X61" s="7"/>
      <c r="Y61" s="7"/>
      <c r="Z61" s="7"/>
      <c r="AA61" s="7"/>
    </row>
    <row r="62">
      <c r="A62" s="7"/>
      <c r="L62" s="7"/>
      <c r="W62" s="7"/>
      <c r="X62" s="7"/>
      <c r="Y62" s="7"/>
      <c r="Z62" s="7"/>
      <c r="AA62" s="7"/>
    </row>
    <row r="63">
      <c r="A63" s="7"/>
      <c r="L63" s="7"/>
      <c r="W63" s="7"/>
      <c r="X63" s="7"/>
      <c r="Y63" s="7"/>
      <c r="Z63" s="7"/>
      <c r="AA63" s="7"/>
    </row>
    <row r="64">
      <c r="A64" s="7"/>
      <c r="L64" s="7"/>
      <c r="W64" s="7"/>
      <c r="X64" s="7"/>
      <c r="Y64" s="7"/>
      <c r="Z64" s="7"/>
      <c r="AA64" s="7"/>
    </row>
    <row r="65">
      <c r="A65" s="7"/>
      <c r="L65" s="7"/>
      <c r="W65" s="7"/>
      <c r="X65" s="7"/>
      <c r="Y65" s="7"/>
      <c r="Z65" s="7"/>
      <c r="AA65" s="7"/>
    </row>
    <row r="66">
      <c r="A66" s="7"/>
      <c r="L66" s="7"/>
      <c r="W66" s="7"/>
      <c r="X66" s="7"/>
      <c r="Y66" s="7"/>
      <c r="Z66" s="7"/>
      <c r="AA66" s="7"/>
    </row>
    <row r="67">
      <c r="A67" s="7"/>
      <c r="L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6">
    <mergeCell ref="C1:N1"/>
    <mergeCell ref="O1:Z1"/>
    <mergeCell ref="B27:K46"/>
    <mergeCell ref="M27:V46"/>
    <mergeCell ref="B48:K67"/>
    <mergeCell ref="M48:V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2" width="15.78"/>
    <col customWidth="1" min="3" max="3" width="17.56"/>
    <col customWidth="1" min="4" max="14" width="13.89"/>
    <col customWidth="1" min="15" max="15" width="17.11"/>
    <col customWidth="1" min="16" max="17" width="13.89"/>
    <col customWidth="1" min="18" max="18" width="7.22"/>
    <col customWidth="1" min="19" max="19" width="7.44"/>
    <col customWidth="1" min="20" max="20" width="7.22"/>
    <col customWidth="1" min="21" max="21" width="7.78"/>
    <col customWidth="1" min="22" max="22" width="7.44"/>
    <col customWidth="1" min="23" max="23" width="7.22"/>
    <col customWidth="1" min="24" max="24" width="7.11"/>
    <col customWidth="1" min="25" max="25" width="7.22"/>
    <col customWidth="1" min="26" max="26" width="7.11"/>
  </cols>
  <sheetData>
    <row r="1">
      <c r="A1" s="19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2</v>
      </c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7"/>
    </row>
    <row r="2">
      <c r="A2" s="20"/>
      <c r="B2" s="9"/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7"/>
    </row>
    <row r="3">
      <c r="A3" s="21">
        <f t="array" ref="A3:A25">SEQUENCE(23,1)</f>
        <v>1</v>
      </c>
      <c r="B3" s="11" t="s">
        <v>27</v>
      </c>
      <c r="C3" s="22">
        <v>1128527.5999999999</v>
      </c>
      <c r="D3" s="22">
        <v>1075535.73</v>
      </c>
      <c r="E3" s="23">
        <v>1345675.0</v>
      </c>
      <c r="F3" s="22">
        <v>1141685.41</v>
      </c>
      <c r="G3" s="22">
        <v>949754.31</v>
      </c>
      <c r="H3" s="22">
        <v>993534.7600000001</v>
      </c>
      <c r="I3" s="22">
        <v>1096569.38</v>
      </c>
      <c r="J3" s="22">
        <v>1194933.93</v>
      </c>
      <c r="K3" s="22">
        <v>1167115.6400000001</v>
      </c>
      <c r="L3" s="22">
        <v>1142309.64</v>
      </c>
      <c r="M3" s="22">
        <v>1146478.44</v>
      </c>
      <c r="N3" s="22">
        <v>1038271.12</v>
      </c>
      <c r="O3" s="14">
        <v>1170803.13</v>
      </c>
      <c r="P3" s="14">
        <v>1044467.77</v>
      </c>
      <c r="Q3" s="14">
        <v>1410217.82</v>
      </c>
      <c r="R3" s="24"/>
      <c r="S3" s="15"/>
      <c r="T3" s="15"/>
      <c r="U3" s="15"/>
      <c r="V3" s="15"/>
      <c r="W3" s="15"/>
      <c r="X3" s="15"/>
      <c r="Y3" s="15"/>
      <c r="Z3" s="15"/>
      <c r="AA3" s="7"/>
    </row>
    <row r="4">
      <c r="A4" s="21">
        <v>2.0</v>
      </c>
      <c r="B4" s="11" t="s">
        <v>28</v>
      </c>
      <c r="C4" s="22">
        <v>1303649.8399999999</v>
      </c>
      <c r="D4" s="22">
        <v>1435385.9000000004</v>
      </c>
      <c r="E4" s="23">
        <v>1872673.0</v>
      </c>
      <c r="F4" s="22">
        <v>1621370.0199999998</v>
      </c>
      <c r="G4" s="22">
        <v>1681544.2</v>
      </c>
      <c r="H4" s="22">
        <v>1343762.4300000002</v>
      </c>
      <c r="I4" s="22">
        <v>1504290.8599999996</v>
      </c>
      <c r="J4" s="22">
        <v>1504290.8599999996</v>
      </c>
      <c r="K4" s="22">
        <v>1833929.5500000007</v>
      </c>
      <c r="L4" s="22">
        <v>1486590.5100000005</v>
      </c>
      <c r="M4" s="22">
        <v>1140827.19</v>
      </c>
      <c r="N4" s="22">
        <v>1097132.87</v>
      </c>
      <c r="O4" s="14">
        <v>1480715.33</v>
      </c>
      <c r="P4" s="14">
        <v>1253377.8399999999</v>
      </c>
      <c r="Q4" s="14">
        <v>1444461.6600000001</v>
      </c>
      <c r="R4" s="15"/>
      <c r="S4" s="15"/>
      <c r="T4" s="15"/>
      <c r="U4" s="15"/>
      <c r="V4" s="15"/>
      <c r="W4" s="15"/>
      <c r="X4" s="15"/>
      <c r="Y4" s="15"/>
      <c r="Z4" s="15"/>
      <c r="AA4" s="7"/>
    </row>
    <row r="5">
      <c r="A5" s="21">
        <v>3.0</v>
      </c>
      <c r="B5" s="11" t="s">
        <v>29</v>
      </c>
      <c r="C5" s="22">
        <v>522142.95000000007</v>
      </c>
      <c r="D5" s="22">
        <v>374984.6800000001</v>
      </c>
      <c r="E5" s="23">
        <v>510485.0</v>
      </c>
      <c r="F5" s="22">
        <v>459874.7599999999</v>
      </c>
      <c r="G5" s="22">
        <v>344239.13000000006</v>
      </c>
      <c r="H5" s="22">
        <v>409433.70999999996</v>
      </c>
      <c r="I5" s="22">
        <v>410905.60999999987</v>
      </c>
      <c r="J5" s="22">
        <v>497294.56</v>
      </c>
      <c r="K5" s="22">
        <v>476272.19</v>
      </c>
      <c r="L5" s="22">
        <v>431135.53</v>
      </c>
      <c r="M5" s="22">
        <v>467265.14</v>
      </c>
      <c r="N5" s="22">
        <v>489360.44</v>
      </c>
      <c r="O5" s="14">
        <v>548358.01</v>
      </c>
      <c r="P5" s="14">
        <v>691819.65</v>
      </c>
      <c r="Q5" s="14">
        <v>700451.9</v>
      </c>
      <c r="R5" s="15"/>
      <c r="S5" s="15"/>
      <c r="T5" s="15"/>
      <c r="U5" s="15"/>
      <c r="V5" s="15"/>
      <c r="W5" s="15"/>
      <c r="X5" s="15"/>
      <c r="Y5" s="15"/>
      <c r="Z5" s="15"/>
      <c r="AA5" s="7"/>
    </row>
    <row r="6">
      <c r="A6" s="21">
        <v>4.0</v>
      </c>
      <c r="B6" s="11" t="s">
        <v>30</v>
      </c>
      <c r="C6" s="22">
        <v>474616.0</v>
      </c>
      <c r="D6" s="22">
        <v>404212.0</v>
      </c>
      <c r="E6" s="23">
        <v>506684.0</v>
      </c>
      <c r="F6" s="22">
        <v>457677.5</v>
      </c>
      <c r="G6" s="22">
        <v>369985.0</v>
      </c>
      <c r="H6" s="22">
        <v>454310.0</v>
      </c>
      <c r="I6" s="22">
        <v>500026.82</v>
      </c>
      <c r="J6" s="22">
        <v>594124.0</v>
      </c>
      <c r="K6" s="22">
        <v>451782.32</v>
      </c>
      <c r="L6" s="22">
        <v>655130.3200000001</v>
      </c>
      <c r="M6" s="22">
        <v>594603.32</v>
      </c>
      <c r="N6" s="22">
        <v>461042.32</v>
      </c>
      <c r="O6" s="14">
        <v>608955.0</v>
      </c>
      <c r="P6" s="14">
        <v>541855.32</v>
      </c>
      <c r="Q6" s="14">
        <v>558366.0</v>
      </c>
      <c r="R6" s="15"/>
      <c r="S6" s="15"/>
      <c r="T6" s="15"/>
      <c r="U6" s="15"/>
      <c r="V6" s="15"/>
      <c r="W6" s="15"/>
      <c r="X6" s="15"/>
      <c r="Y6" s="15"/>
      <c r="Z6" s="15"/>
      <c r="AA6" s="7"/>
    </row>
    <row r="7">
      <c r="A7" s="21">
        <v>5.0</v>
      </c>
      <c r="B7" s="11" t="s">
        <v>31</v>
      </c>
      <c r="C7" s="22">
        <v>577085.81</v>
      </c>
      <c r="D7" s="22">
        <v>610453.1000000001</v>
      </c>
      <c r="E7" s="23">
        <v>616656.0</v>
      </c>
      <c r="F7" s="22">
        <v>695410.56</v>
      </c>
      <c r="G7" s="22">
        <v>642818.3500000001</v>
      </c>
      <c r="H7" s="22">
        <v>750493.7400000002</v>
      </c>
      <c r="I7" s="22">
        <v>745895.8199999998</v>
      </c>
      <c r="J7" s="22">
        <v>819785.5499999998</v>
      </c>
      <c r="K7" s="22">
        <v>883999.0899999999</v>
      </c>
      <c r="L7" s="22">
        <v>929550.44</v>
      </c>
      <c r="M7" s="22">
        <v>965411.0</v>
      </c>
      <c r="N7" s="22">
        <v>754629.0699999998</v>
      </c>
      <c r="O7" s="14">
        <v>934349.02</v>
      </c>
      <c r="P7" s="14">
        <v>928099.9500000002</v>
      </c>
      <c r="Q7" s="14">
        <v>1057412.67</v>
      </c>
      <c r="R7" s="15"/>
      <c r="S7" s="15"/>
      <c r="T7" s="15"/>
      <c r="U7" s="15"/>
      <c r="V7" s="15"/>
      <c r="W7" s="15"/>
      <c r="X7" s="15"/>
      <c r="Y7" s="15"/>
      <c r="Z7" s="15"/>
      <c r="AA7" s="7"/>
    </row>
    <row r="8">
      <c r="A8" s="21">
        <v>6.0</v>
      </c>
      <c r="B8" s="11" t="s">
        <v>32</v>
      </c>
      <c r="C8" s="22">
        <v>449113.45</v>
      </c>
      <c r="D8" s="22">
        <v>399342.64</v>
      </c>
      <c r="E8" s="23">
        <v>359900.0</v>
      </c>
      <c r="F8" s="22">
        <v>433136.11</v>
      </c>
      <c r="G8" s="22">
        <v>537791.48</v>
      </c>
      <c r="H8" s="22">
        <v>697176.4</v>
      </c>
      <c r="I8" s="22">
        <v>738431.0</v>
      </c>
      <c r="J8" s="22">
        <v>744045.0</v>
      </c>
      <c r="K8" s="22">
        <v>684513.0</v>
      </c>
      <c r="L8" s="22">
        <v>681198.0</v>
      </c>
      <c r="M8" s="22">
        <v>614821.0</v>
      </c>
      <c r="N8" s="22">
        <v>626638.0</v>
      </c>
      <c r="O8" s="14">
        <v>805556.0</v>
      </c>
      <c r="P8" s="14">
        <v>641915.0</v>
      </c>
      <c r="Q8" s="14">
        <v>826355.0</v>
      </c>
      <c r="R8" s="15"/>
      <c r="S8" s="15"/>
      <c r="T8" s="15"/>
      <c r="U8" s="15"/>
      <c r="V8" s="15"/>
      <c r="W8" s="15"/>
      <c r="X8" s="15"/>
      <c r="Y8" s="15"/>
      <c r="Z8" s="15"/>
      <c r="AA8" s="7"/>
    </row>
    <row r="9">
      <c r="A9" s="21">
        <v>7.0</v>
      </c>
      <c r="B9" s="11" t="s">
        <v>33</v>
      </c>
      <c r="C9" s="22">
        <v>162606.62</v>
      </c>
      <c r="D9" s="22">
        <v>159914.27</v>
      </c>
      <c r="E9" s="23">
        <v>98255.0</v>
      </c>
      <c r="F9" s="22">
        <v>128728.58</v>
      </c>
      <c r="G9" s="22">
        <v>144109.08000000002</v>
      </c>
      <c r="H9" s="22">
        <v>168345.05</v>
      </c>
      <c r="I9" s="22">
        <v>138917.05</v>
      </c>
      <c r="J9" s="22">
        <v>180715.45</v>
      </c>
      <c r="K9" s="22">
        <v>147702.0</v>
      </c>
      <c r="L9" s="22">
        <v>107327.90999999992</v>
      </c>
      <c r="M9" s="22">
        <v>90989.31</v>
      </c>
      <c r="N9" s="22">
        <v>90963.19</v>
      </c>
      <c r="O9" s="14">
        <v>119450.0</v>
      </c>
      <c r="P9" s="14">
        <v>105183.55</v>
      </c>
      <c r="Q9" s="14">
        <v>70194.0</v>
      </c>
      <c r="R9" s="15"/>
      <c r="S9" s="15"/>
      <c r="T9" s="15"/>
      <c r="U9" s="15"/>
      <c r="V9" s="15"/>
      <c r="W9" s="15"/>
      <c r="X9" s="15"/>
      <c r="Y9" s="15"/>
      <c r="Z9" s="15"/>
      <c r="AA9" s="7"/>
    </row>
    <row r="10">
      <c r="A10" s="21">
        <v>8.0</v>
      </c>
      <c r="B10" s="11" t="s">
        <v>34</v>
      </c>
      <c r="C10" s="22">
        <v>153128.58000000002</v>
      </c>
      <c r="D10" s="22">
        <v>127881.54000000001</v>
      </c>
      <c r="E10" s="23">
        <v>125869.0</v>
      </c>
      <c r="F10" s="22">
        <v>148677.57</v>
      </c>
      <c r="G10" s="22">
        <v>112692.35</v>
      </c>
      <c r="H10" s="22">
        <v>114469.76999999999</v>
      </c>
      <c r="I10" s="22">
        <v>92844.43</v>
      </c>
      <c r="J10" s="22">
        <v>105662.45999999996</v>
      </c>
      <c r="K10" s="22">
        <v>130169.83999999994</v>
      </c>
      <c r="L10" s="22">
        <v>118289.3899999999</v>
      </c>
      <c r="M10" s="22">
        <v>16115.0</v>
      </c>
      <c r="N10" s="22">
        <v>96053.20999999999</v>
      </c>
      <c r="O10" s="14">
        <v>181989.98</v>
      </c>
      <c r="P10" s="14">
        <v>126452.7</v>
      </c>
      <c r="Q10" s="14">
        <v>175726.15</v>
      </c>
      <c r="R10" s="15"/>
      <c r="S10" s="15"/>
      <c r="T10" s="15"/>
      <c r="U10" s="15"/>
      <c r="V10" s="15"/>
      <c r="W10" s="15"/>
      <c r="X10" s="15"/>
      <c r="Y10" s="15"/>
      <c r="Z10" s="15"/>
      <c r="AA10" s="7"/>
    </row>
    <row r="11">
      <c r="A11" s="21">
        <v>9.0</v>
      </c>
      <c r="B11" s="11" t="s">
        <v>35</v>
      </c>
      <c r="C11" s="22">
        <v>709807.5</v>
      </c>
      <c r="D11" s="22">
        <v>697094.0</v>
      </c>
      <c r="E11" s="23">
        <v>496793.0</v>
      </c>
      <c r="F11" s="22">
        <v>642665.6000000001</v>
      </c>
      <c r="G11" s="22">
        <v>604759.0699999998</v>
      </c>
      <c r="H11" s="22">
        <v>726133.1000000001</v>
      </c>
      <c r="I11" s="22">
        <v>674470.0</v>
      </c>
      <c r="J11" s="22">
        <v>841657.1000000001</v>
      </c>
      <c r="K11" s="22">
        <v>857939.0</v>
      </c>
      <c r="L11" s="22">
        <v>848547.6200000001</v>
      </c>
      <c r="M11" s="22">
        <v>737055.0</v>
      </c>
      <c r="N11" s="22">
        <v>587863.0</v>
      </c>
      <c r="O11" s="14">
        <v>916973.0</v>
      </c>
      <c r="P11" s="14">
        <v>832268.0</v>
      </c>
      <c r="Q11" s="14">
        <v>870933.0</v>
      </c>
      <c r="R11" s="15"/>
      <c r="S11" s="15"/>
      <c r="T11" s="15"/>
      <c r="U11" s="15"/>
      <c r="V11" s="15"/>
      <c r="W11" s="15"/>
      <c r="X11" s="15"/>
      <c r="Y11" s="15"/>
      <c r="Z11" s="15"/>
      <c r="AA11" s="7"/>
    </row>
    <row r="12">
      <c r="A12" s="21">
        <v>10.0</v>
      </c>
      <c r="B12" s="11" t="s">
        <v>36</v>
      </c>
      <c r="C12" s="22">
        <v>259427.0</v>
      </c>
      <c r="D12" s="22">
        <v>250044.0</v>
      </c>
      <c r="E12" s="23">
        <v>240026.0</v>
      </c>
      <c r="F12" s="22">
        <v>349919.0</v>
      </c>
      <c r="G12" s="22">
        <v>293103.0</v>
      </c>
      <c r="H12" s="22">
        <v>227465.0</v>
      </c>
      <c r="I12" s="22">
        <v>318136.0</v>
      </c>
      <c r="J12" s="22">
        <v>291634.7</v>
      </c>
      <c r="K12" s="22">
        <v>280076.0</v>
      </c>
      <c r="L12" s="22">
        <v>285092.88</v>
      </c>
      <c r="M12" s="22">
        <v>263250.0</v>
      </c>
      <c r="N12" s="22">
        <v>220043.0</v>
      </c>
      <c r="O12" s="14">
        <v>237229.0</v>
      </c>
      <c r="P12" s="14">
        <v>186123.0</v>
      </c>
      <c r="Q12" s="14">
        <v>263476.8</v>
      </c>
      <c r="R12" s="15"/>
      <c r="S12" s="15"/>
      <c r="T12" s="15"/>
      <c r="U12" s="15"/>
      <c r="V12" s="15"/>
      <c r="W12" s="15"/>
      <c r="X12" s="15"/>
      <c r="Y12" s="15"/>
      <c r="Z12" s="15"/>
      <c r="AA12" s="7"/>
    </row>
    <row r="13">
      <c r="A13" s="21">
        <v>11.0</v>
      </c>
      <c r="B13" s="11" t="s">
        <v>37</v>
      </c>
      <c r="C13" s="22">
        <v>317548.0</v>
      </c>
      <c r="D13" s="22">
        <v>247352.0</v>
      </c>
      <c r="E13" s="23">
        <v>293689.0</v>
      </c>
      <c r="F13" s="22">
        <v>324981.0</v>
      </c>
      <c r="G13" s="22">
        <v>266683.0</v>
      </c>
      <c r="H13" s="22">
        <v>212237.1299999999</v>
      </c>
      <c r="I13" s="22">
        <v>321623.8899999999</v>
      </c>
      <c r="J13" s="22">
        <v>351527.8899999999</v>
      </c>
      <c r="K13" s="22">
        <v>266430.0</v>
      </c>
      <c r="L13" s="22">
        <v>341443.0</v>
      </c>
      <c r="M13" s="22">
        <v>272890.0</v>
      </c>
      <c r="N13" s="22">
        <v>216500.0</v>
      </c>
      <c r="O13" s="14">
        <v>318571.0</v>
      </c>
      <c r="P13" s="14">
        <v>169159.0</v>
      </c>
      <c r="Q13" s="14">
        <v>277631.0</v>
      </c>
      <c r="R13" s="15"/>
      <c r="S13" s="15"/>
      <c r="T13" s="15"/>
      <c r="U13" s="15"/>
      <c r="V13" s="15"/>
      <c r="W13" s="15"/>
      <c r="X13" s="15"/>
      <c r="Y13" s="15"/>
      <c r="Z13" s="15"/>
      <c r="AA13" s="7"/>
    </row>
    <row r="14">
      <c r="A14" s="21">
        <v>12.0</v>
      </c>
      <c r="B14" s="11" t="s">
        <v>38</v>
      </c>
      <c r="C14" s="22">
        <v>1300495.0</v>
      </c>
      <c r="D14" s="22">
        <v>1077260.0</v>
      </c>
      <c r="E14" s="23">
        <v>1158203.0</v>
      </c>
      <c r="F14" s="22">
        <v>1118493.0</v>
      </c>
      <c r="G14" s="22">
        <v>1051189.0</v>
      </c>
      <c r="H14" s="22">
        <v>1014161.0</v>
      </c>
      <c r="I14" s="22">
        <v>1017563.0</v>
      </c>
      <c r="J14" s="22">
        <v>949211.0</v>
      </c>
      <c r="K14" s="22">
        <v>547289.0</v>
      </c>
      <c r="L14" s="22">
        <v>614758.0</v>
      </c>
      <c r="M14" s="22">
        <v>725898.0</v>
      </c>
      <c r="N14" s="22">
        <v>804649.0</v>
      </c>
      <c r="O14" s="14">
        <v>848736.0</v>
      </c>
      <c r="P14" s="14">
        <v>926068.0</v>
      </c>
      <c r="Q14" s="14">
        <v>976800.0</v>
      </c>
      <c r="R14" s="15"/>
      <c r="S14" s="15"/>
      <c r="T14" s="15"/>
      <c r="U14" s="15"/>
      <c r="V14" s="15"/>
      <c r="W14" s="15"/>
      <c r="X14" s="15"/>
      <c r="Y14" s="15"/>
      <c r="Z14" s="15"/>
      <c r="AA14" s="7"/>
    </row>
    <row r="15">
      <c r="A15" s="21">
        <v>13.0</v>
      </c>
      <c r="B15" s="11" t="s">
        <v>39</v>
      </c>
      <c r="C15" s="22">
        <v>528712.0</v>
      </c>
      <c r="D15" s="22">
        <v>483880.0</v>
      </c>
      <c r="E15" s="23">
        <v>312262.0</v>
      </c>
      <c r="F15" s="22">
        <v>461231.0</v>
      </c>
      <c r="G15" s="22">
        <v>330247.0</v>
      </c>
      <c r="H15" s="22">
        <v>408368.0</v>
      </c>
      <c r="I15" s="22">
        <v>427440.0</v>
      </c>
      <c r="J15" s="22">
        <v>434177.0</v>
      </c>
      <c r="K15" s="22">
        <v>345743.0</v>
      </c>
      <c r="L15" s="22">
        <v>451301.0</v>
      </c>
      <c r="M15" s="22">
        <v>403563.0</v>
      </c>
      <c r="N15" s="22">
        <v>371776.0</v>
      </c>
      <c r="O15" s="14">
        <v>428001.0</v>
      </c>
      <c r="P15" s="14">
        <v>362584.0</v>
      </c>
      <c r="Q15" s="14">
        <v>320161.0</v>
      </c>
      <c r="R15" s="15"/>
      <c r="S15" s="15"/>
      <c r="T15" s="15"/>
      <c r="U15" s="15"/>
      <c r="V15" s="15"/>
      <c r="W15" s="15"/>
      <c r="X15" s="15"/>
      <c r="Y15" s="15"/>
      <c r="Z15" s="15"/>
      <c r="AA15" s="7"/>
    </row>
    <row r="16">
      <c r="A16" s="21">
        <v>14.0</v>
      </c>
      <c r="B16" s="11" t="s">
        <v>40</v>
      </c>
      <c r="C16" s="22">
        <v>622221.0</v>
      </c>
      <c r="D16" s="22">
        <v>594185.0</v>
      </c>
      <c r="E16" s="23">
        <v>477340.0</v>
      </c>
      <c r="F16" s="22">
        <v>636774.0</v>
      </c>
      <c r="G16" s="22">
        <v>520224.0</v>
      </c>
      <c r="H16" s="22">
        <v>644974.0</v>
      </c>
      <c r="I16" s="22">
        <v>670545.0</v>
      </c>
      <c r="J16" s="22">
        <v>632562.0</v>
      </c>
      <c r="K16" s="22">
        <v>643180.0</v>
      </c>
      <c r="L16" s="22">
        <v>660718.0</v>
      </c>
      <c r="M16" s="22">
        <v>705214.0</v>
      </c>
      <c r="N16" s="22">
        <v>686127.0</v>
      </c>
      <c r="O16" s="14">
        <v>675775.0</v>
      </c>
      <c r="P16" s="14">
        <v>615499.0</v>
      </c>
      <c r="Q16" s="14">
        <v>657516.1100000001</v>
      </c>
      <c r="R16" s="15"/>
      <c r="S16" s="15"/>
      <c r="T16" s="15"/>
      <c r="U16" s="15"/>
      <c r="V16" s="15"/>
      <c r="W16" s="15"/>
      <c r="X16" s="15"/>
      <c r="Y16" s="15"/>
      <c r="Z16" s="15"/>
      <c r="AA16" s="7"/>
    </row>
    <row r="17">
      <c r="A17" s="21">
        <v>15.0</v>
      </c>
      <c r="B17" s="11" t="s">
        <v>41</v>
      </c>
      <c r="C17" s="22">
        <v>258380.28</v>
      </c>
      <c r="D17" s="22">
        <v>241915.32</v>
      </c>
      <c r="E17" s="23">
        <v>254895.0</v>
      </c>
      <c r="F17" s="22">
        <v>246063.0</v>
      </c>
      <c r="G17" s="22">
        <v>243867.64</v>
      </c>
      <c r="H17" s="22">
        <v>266254.98</v>
      </c>
      <c r="I17" s="22">
        <v>248626.02</v>
      </c>
      <c r="J17" s="22">
        <v>294089.28</v>
      </c>
      <c r="K17" s="22">
        <v>215916.11</v>
      </c>
      <c r="L17" s="22">
        <v>298496.14</v>
      </c>
      <c r="M17" s="22">
        <v>303232.82</v>
      </c>
      <c r="N17" s="22">
        <v>309966.59</v>
      </c>
      <c r="O17" s="14">
        <v>331286.31</v>
      </c>
      <c r="P17" s="14">
        <v>281207.83</v>
      </c>
      <c r="Q17" s="14">
        <v>318988.66</v>
      </c>
      <c r="R17" s="15"/>
      <c r="S17" s="15"/>
      <c r="T17" s="15"/>
      <c r="U17" s="15"/>
      <c r="V17" s="15"/>
      <c r="W17" s="15"/>
      <c r="X17" s="15"/>
      <c r="Y17" s="15"/>
      <c r="Z17" s="15"/>
      <c r="AA17" s="7"/>
    </row>
    <row r="18">
      <c r="A18" s="21">
        <v>16.0</v>
      </c>
      <c r="B18" s="11" t="s">
        <v>42</v>
      </c>
      <c r="C18" s="22">
        <v>1022061.0</v>
      </c>
      <c r="D18" s="22">
        <v>987846.0</v>
      </c>
      <c r="E18" s="23">
        <v>955097.0</v>
      </c>
      <c r="F18" s="22">
        <v>797836.0</v>
      </c>
      <c r="G18" s="22">
        <v>727134.53</v>
      </c>
      <c r="H18" s="22">
        <v>730950.6499999999</v>
      </c>
      <c r="I18" s="22">
        <v>667021.9199999999</v>
      </c>
      <c r="J18" s="22">
        <v>723514.0</v>
      </c>
      <c r="K18" s="22">
        <v>681957.0</v>
      </c>
      <c r="L18" s="22">
        <v>772888.0</v>
      </c>
      <c r="M18" s="22">
        <v>760587.0</v>
      </c>
      <c r="N18" s="22">
        <v>702618.0</v>
      </c>
      <c r="O18" s="14">
        <v>787751.0</v>
      </c>
      <c r="P18" s="14">
        <v>684575.0</v>
      </c>
      <c r="Q18" s="14">
        <v>807659.47</v>
      </c>
      <c r="R18" s="15"/>
      <c r="S18" s="15"/>
      <c r="T18" s="15"/>
      <c r="U18" s="15"/>
      <c r="V18" s="15"/>
      <c r="W18" s="15"/>
      <c r="X18" s="15"/>
      <c r="Y18" s="15"/>
      <c r="Z18" s="15"/>
      <c r="AA18" s="7"/>
    </row>
    <row r="19">
      <c r="A19" s="21">
        <v>17.0</v>
      </c>
      <c r="B19" s="11" t="s">
        <v>43</v>
      </c>
      <c r="C19" s="22">
        <v>78208.0</v>
      </c>
      <c r="D19" s="22">
        <v>53580.0</v>
      </c>
      <c r="E19" s="23">
        <v>52887.0</v>
      </c>
      <c r="F19" s="22">
        <v>58400.0</v>
      </c>
      <c r="G19" s="22">
        <v>53463.0</v>
      </c>
      <c r="H19" s="22">
        <v>59310.0</v>
      </c>
      <c r="I19" s="22">
        <v>58137.0</v>
      </c>
      <c r="J19" s="22">
        <v>61652.0</v>
      </c>
      <c r="K19" s="22">
        <v>57421.0</v>
      </c>
      <c r="L19" s="22">
        <v>66076.0</v>
      </c>
      <c r="M19" s="22">
        <v>64815.0</v>
      </c>
      <c r="N19" s="22">
        <v>64673.0</v>
      </c>
      <c r="O19" s="14">
        <v>89938.0</v>
      </c>
      <c r="P19" s="14">
        <v>40371.0</v>
      </c>
      <c r="Q19" s="14">
        <v>85968.16</v>
      </c>
      <c r="R19" s="15"/>
      <c r="S19" s="15"/>
      <c r="T19" s="15"/>
      <c r="U19" s="15"/>
      <c r="V19" s="15"/>
      <c r="W19" s="15"/>
      <c r="X19" s="15"/>
      <c r="Y19" s="15"/>
      <c r="Z19" s="15"/>
      <c r="AA19" s="7"/>
    </row>
    <row r="20">
      <c r="A20" s="21">
        <v>18.0</v>
      </c>
      <c r="B20" s="11" t="s">
        <v>44</v>
      </c>
      <c r="C20" s="22">
        <v>158144.69</v>
      </c>
      <c r="D20" s="22">
        <v>235200.02000000002</v>
      </c>
      <c r="E20" s="23">
        <v>235319.0</v>
      </c>
      <c r="F20" s="22">
        <v>221156.0</v>
      </c>
      <c r="G20" s="22">
        <v>170750.31</v>
      </c>
      <c r="H20" s="22">
        <v>204060.15000000002</v>
      </c>
      <c r="I20" s="22">
        <v>185069.57</v>
      </c>
      <c r="J20" s="22">
        <v>274872.54000000004</v>
      </c>
      <c r="K20" s="22">
        <v>166656.66999999998</v>
      </c>
      <c r="L20" s="22">
        <v>200180.77000000002</v>
      </c>
      <c r="M20" s="22">
        <v>188789.24</v>
      </c>
      <c r="N20" s="22">
        <v>188276.30000000005</v>
      </c>
      <c r="O20" s="14">
        <v>250955.87</v>
      </c>
      <c r="P20" s="14">
        <v>209984.30000000005</v>
      </c>
      <c r="Q20" s="14">
        <v>264596.4</v>
      </c>
      <c r="R20" s="15"/>
      <c r="S20" s="15"/>
      <c r="T20" s="15"/>
      <c r="U20" s="15"/>
      <c r="V20" s="15"/>
      <c r="W20" s="15"/>
      <c r="X20" s="15"/>
      <c r="Y20" s="15"/>
      <c r="Z20" s="15"/>
      <c r="AA20" s="7"/>
    </row>
    <row r="21">
      <c r="A21" s="21">
        <v>19.0</v>
      </c>
      <c r="B21" s="11" t="s">
        <v>45</v>
      </c>
      <c r="C21" s="22">
        <v>35530.0</v>
      </c>
      <c r="D21" s="22">
        <v>41262.0</v>
      </c>
      <c r="E21" s="23">
        <v>16109.0</v>
      </c>
      <c r="F21" s="22">
        <v>24063.0</v>
      </c>
      <c r="G21" s="22">
        <v>19341.0</v>
      </c>
      <c r="H21" s="22">
        <v>26758.0</v>
      </c>
      <c r="I21" s="22">
        <v>27957.54</v>
      </c>
      <c r="J21" s="22">
        <v>34399.96</v>
      </c>
      <c r="K21" s="22">
        <v>37001.17</v>
      </c>
      <c r="L21" s="22">
        <v>46645.0</v>
      </c>
      <c r="M21" s="22">
        <v>39218.49</v>
      </c>
      <c r="N21" s="22">
        <v>28706.11</v>
      </c>
      <c r="O21" s="14">
        <v>38004.85</v>
      </c>
      <c r="P21" s="14">
        <v>28066.53</v>
      </c>
      <c r="Q21" s="14">
        <v>36133.39</v>
      </c>
      <c r="R21" s="15"/>
      <c r="S21" s="15"/>
      <c r="T21" s="15"/>
      <c r="U21" s="15"/>
      <c r="V21" s="15"/>
      <c r="W21" s="15"/>
      <c r="X21" s="15"/>
      <c r="Y21" s="15"/>
      <c r="Z21" s="15"/>
      <c r="AA21" s="7"/>
    </row>
    <row r="22">
      <c r="A22" s="21">
        <v>20.0</v>
      </c>
      <c r="B22" s="11" t="s">
        <v>46</v>
      </c>
      <c r="C22" s="22">
        <v>129575.0</v>
      </c>
      <c r="D22" s="22">
        <v>177169.0</v>
      </c>
      <c r="E22" s="23">
        <v>196307.0</v>
      </c>
      <c r="F22" s="22">
        <v>217039.0</v>
      </c>
      <c r="G22" s="22">
        <v>159275.0</v>
      </c>
      <c r="H22" s="22">
        <v>221473.0</v>
      </c>
      <c r="I22" s="22">
        <v>216384.0</v>
      </c>
      <c r="J22" s="22">
        <v>231011.0</v>
      </c>
      <c r="K22" s="22">
        <v>218001.0</v>
      </c>
      <c r="L22" s="22">
        <v>188582.0</v>
      </c>
      <c r="M22" s="22">
        <v>181415.0</v>
      </c>
      <c r="N22" s="22">
        <v>210588.0</v>
      </c>
      <c r="O22" s="14">
        <v>250927.0</v>
      </c>
      <c r="P22" s="14">
        <v>237047.0</v>
      </c>
      <c r="Q22" s="14">
        <v>220483.0</v>
      </c>
      <c r="R22" s="15"/>
      <c r="S22" s="15"/>
      <c r="T22" s="15"/>
      <c r="U22" s="15"/>
      <c r="V22" s="15"/>
      <c r="W22" s="15"/>
      <c r="X22" s="15"/>
      <c r="Y22" s="15"/>
      <c r="Z22" s="15"/>
      <c r="AA22" s="7"/>
    </row>
    <row r="23">
      <c r="A23" s="21">
        <v>21.0</v>
      </c>
      <c r="B23" s="11" t="s">
        <v>47</v>
      </c>
      <c r="C23" s="22">
        <v>773367.69</v>
      </c>
      <c r="D23" s="22">
        <v>743097.0</v>
      </c>
      <c r="E23" s="23">
        <v>319120.0</v>
      </c>
      <c r="F23" s="22">
        <v>572079.0</v>
      </c>
      <c r="G23" s="22">
        <v>700730.0</v>
      </c>
      <c r="H23" s="22">
        <v>726001.0</v>
      </c>
      <c r="I23" s="22">
        <v>792743.0</v>
      </c>
      <c r="J23" s="22">
        <v>784294.0</v>
      </c>
      <c r="K23" s="22">
        <v>760013.0</v>
      </c>
      <c r="L23" s="22">
        <v>714164.0</v>
      </c>
      <c r="M23" s="22">
        <v>789386.0</v>
      </c>
      <c r="N23" s="22">
        <v>776292.0</v>
      </c>
      <c r="O23" s="14">
        <v>870812.0</v>
      </c>
      <c r="P23" s="14">
        <v>797821.0</v>
      </c>
      <c r="Q23" s="14">
        <v>744241.0</v>
      </c>
      <c r="R23" s="15"/>
      <c r="S23" s="15"/>
      <c r="T23" s="15"/>
      <c r="U23" s="15"/>
      <c r="V23" s="15"/>
      <c r="W23" s="15"/>
      <c r="X23" s="15"/>
      <c r="Y23" s="15"/>
      <c r="Z23" s="15"/>
      <c r="AA23" s="7"/>
    </row>
    <row r="24">
      <c r="A24" s="21">
        <v>22.0</v>
      </c>
      <c r="B24" s="11" t="s">
        <v>48</v>
      </c>
      <c r="C24" s="22">
        <v>224574.0</v>
      </c>
      <c r="D24" s="22">
        <v>183220.0</v>
      </c>
      <c r="E24" s="23">
        <v>176212.0</v>
      </c>
      <c r="F24" s="22">
        <v>158749.0</v>
      </c>
      <c r="G24" s="22">
        <v>110198.0</v>
      </c>
      <c r="H24" s="22">
        <v>176836.0</v>
      </c>
      <c r="I24" s="22">
        <v>173034.0</v>
      </c>
      <c r="J24" s="22">
        <v>173427.0</v>
      </c>
      <c r="K24" s="22">
        <v>147858.0</v>
      </c>
      <c r="L24" s="22">
        <v>172810.0</v>
      </c>
      <c r="M24" s="22">
        <v>165792.0</v>
      </c>
      <c r="N24" s="22">
        <v>156321.0</v>
      </c>
      <c r="O24" s="14">
        <v>188142.0</v>
      </c>
      <c r="P24" s="14">
        <v>169272.0</v>
      </c>
      <c r="Q24" s="14">
        <v>185920.0</v>
      </c>
      <c r="R24" s="15"/>
      <c r="S24" s="15"/>
      <c r="T24" s="15"/>
      <c r="U24" s="15"/>
      <c r="V24" s="15"/>
      <c r="W24" s="15"/>
      <c r="X24" s="15"/>
      <c r="Y24" s="15"/>
      <c r="Z24" s="15"/>
      <c r="AA24" s="7"/>
    </row>
    <row r="25">
      <c r="A25" s="21">
        <v>23.0</v>
      </c>
      <c r="B25" s="11" t="s">
        <v>49</v>
      </c>
      <c r="C25" s="25">
        <f t="shared" ref="C25:T25" si="1">sum(C3:C24)</f>
        <v>11188922.01</v>
      </c>
      <c r="D25" s="25">
        <f t="shared" si="1"/>
        <v>10600814.2</v>
      </c>
      <c r="E25" s="23">
        <f t="shared" si="1"/>
        <v>10620456</v>
      </c>
      <c r="F25" s="25">
        <f t="shared" si="1"/>
        <v>10916009.11</v>
      </c>
      <c r="G25" s="25">
        <f t="shared" si="1"/>
        <v>10033898.45</v>
      </c>
      <c r="H25" s="25">
        <f t="shared" si="1"/>
        <v>10576507.87</v>
      </c>
      <c r="I25" s="25">
        <f t="shared" si="1"/>
        <v>11026631.91</v>
      </c>
      <c r="J25" s="25">
        <f t="shared" si="1"/>
        <v>11718881.28</v>
      </c>
      <c r="K25" s="25">
        <f t="shared" si="1"/>
        <v>11000964.58</v>
      </c>
      <c r="L25" s="25">
        <f t="shared" si="1"/>
        <v>11213234.15</v>
      </c>
      <c r="M25" s="25">
        <f t="shared" si="1"/>
        <v>10637615.95</v>
      </c>
      <c r="N25" s="25">
        <f t="shared" si="1"/>
        <v>9978489.22</v>
      </c>
      <c r="O25" s="25">
        <f t="shared" si="1"/>
        <v>12083278.5</v>
      </c>
      <c r="P25" s="25">
        <f t="shared" si="1"/>
        <v>10873217.44</v>
      </c>
      <c r="Q25" s="25">
        <f t="shared" si="1"/>
        <v>12273693.19</v>
      </c>
      <c r="R25" s="25">
        <f t="shared" si="1"/>
        <v>0</v>
      </c>
      <c r="S25" s="11">
        <f t="shared" si="1"/>
        <v>0</v>
      </c>
      <c r="T25" s="11">
        <f t="shared" si="1"/>
        <v>0</v>
      </c>
      <c r="U25" s="15"/>
      <c r="V25" s="15"/>
      <c r="W25" s="15"/>
      <c r="X25" s="15"/>
      <c r="Y25" s="15"/>
      <c r="Z25" s="15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3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L27" s="7"/>
      <c r="M27" s="7"/>
      <c r="W27" s="7"/>
      <c r="X27" s="7"/>
      <c r="Y27" s="7"/>
      <c r="Z27" s="7"/>
      <c r="AA27" s="7"/>
    </row>
    <row r="28">
      <c r="A28" s="7"/>
      <c r="L28" s="7"/>
      <c r="W28" s="7"/>
      <c r="X28" s="7"/>
      <c r="Y28" s="7"/>
      <c r="Z28" s="7"/>
      <c r="AA28" s="7"/>
    </row>
    <row r="29">
      <c r="A29" s="7"/>
      <c r="L29" s="7"/>
      <c r="W29" s="7"/>
      <c r="X29" s="7"/>
      <c r="Y29" s="7"/>
      <c r="Z29" s="7"/>
      <c r="AA29" s="7"/>
    </row>
    <row r="30">
      <c r="A30" s="7"/>
      <c r="L30" s="7"/>
      <c r="W30" s="7"/>
      <c r="X30" s="7"/>
      <c r="Y30" s="7"/>
      <c r="Z30" s="7"/>
      <c r="AA30" s="7"/>
    </row>
    <row r="31">
      <c r="A31" s="7"/>
      <c r="L31" s="7"/>
      <c r="W31" s="7"/>
      <c r="X31" s="7"/>
      <c r="Y31" s="7"/>
      <c r="Z31" s="7"/>
      <c r="AA31" s="7"/>
    </row>
    <row r="32">
      <c r="A32" s="7"/>
      <c r="L32" s="7"/>
      <c r="W32" s="7"/>
      <c r="X32" s="7"/>
      <c r="Y32" s="7"/>
      <c r="Z32" s="7"/>
      <c r="AA32" s="7"/>
    </row>
    <row r="33">
      <c r="A33" s="7"/>
      <c r="L33" s="7"/>
      <c r="W33" s="7"/>
      <c r="X33" s="7"/>
      <c r="Y33" s="7"/>
      <c r="Z33" s="7"/>
      <c r="AA33" s="7"/>
    </row>
    <row r="34">
      <c r="A34" s="7"/>
      <c r="L34" s="7"/>
      <c r="W34" s="7"/>
      <c r="X34" s="7"/>
      <c r="Y34" s="7"/>
      <c r="Z34" s="7"/>
      <c r="AA34" s="7"/>
    </row>
    <row r="35">
      <c r="A35" s="7"/>
      <c r="L35" s="7"/>
      <c r="W35" s="7"/>
      <c r="X35" s="7"/>
      <c r="Y35" s="7"/>
      <c r="Z35" s="7"/>
      <c r="AA35" s="7"/>
    </row>
    <row r="36">
      <c r="A36" s="7"/>
      <c r="L36" s="7"/>
      <c r="W36" s="7"/>
      <c r="X36" s="7"/>
      <c r="Y36" s="7"/>
      <c r="Z36" s="7"/>
      <c r="AA36" s="7"/>
    </row>
    <row r="37">
      <c r="A37" s="7"/>
      <c r="L37" s="7"/>
      <c r="W37" s="7"/>
      <c r="X37" s="7"/>
      <c r="Y37" s="7"/>
      <c r="Z37" s="7"/>
      <c r="AA37" s="7"/>
    </row>
    <row r="38">
      <c r="A38" s="7"/>
      <c r="L38" s="7"/>
      <c r="W38" s="7"/>
      <c r="X38" s="7"/>
      <c r="Y38" s="7"/>
      <c r="Z38" s="7"/>
      <c r="AA38" s="7"/>
    </row>
    <row r="39">
      <c r="A39" s="7"/>
      <c r="L39" s="7"/>
      <c r="W39" s="7"/>
      <c r="X39" s="7"/>
      <c r="Y39" s="7"/>
      <c r="Z39" s="7"/>
      <c r="AA39" s="7"/>
    </row>
    <row r="40">
      <c r="A40" s="7"/>
      <c r="L40" s="7"/>
      <c r="W40" s="7"/>
      <c r="X40" s="7"/>
      <c r="Y40" s="7"/>
      <c r="Z40" s="7"/>
      <c r="AA40" s="7"/>
    </row>
    <row r="41">
      <c r="A41" s="7"/>
      <c r="L41" s="7"/>
      <c r="W41" s="7"/>
      <c r="X41" s="7"/>
      <c r="Y41" s="7"/>
      <c r="Z41" s="7"/>
      <c r="AA41" s="7"/>
    </row>
    <row r="42">
      <c r="A42" s="7"/>
      <c r="L42" s="7"/>
      <c r="W42" s="7"/>
      <c r="X42" s="7"/>
      <c r="Y42" s="7"/>
      <c r="Z42" s="7"/>
      <c r="AA42" s="7"/>
    </row>
    <row r="43">
      <c r="A43" s="7"/>
      <c r="L43" s="7"/>
      <c r="W43" s="7"/>
      <c r="X43" s="7"/>
      <c r="Y43" s="7"/>
      <c r="Z43" s="7"/>
      <c r="AA43" s="7"/>
    </row>
    <row r="44">
      <c r="A44" s="7"/>
      <c r="L44" s="7"/>
      <c r="W44" s="7"/>
      <c r="X44" s="7"/>
      <c r="Y44" s="7"/>
      <c r="Z44" s="7"/>
      <c r="AA44" s="7"/>
    </row>
    <row r="45">
      <c r="A45" s="7"/>
      <c r="L45" s="7"/>
      <c r="W45" s="7"/>
      <c r="X45" s="7"/>
      <c r="Y45" s="7"/>
      <c r="Z45" s="7"/>
      <c r="AA45" s="7"/>
    </row>
    <row r="46">
      <c r="A46" s="7"/>
      <c r="L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L48" s="7"/>
      <c r="M48" s="7"/>
      <c r="W48" s="7"/>
      <c r="X48" s="7"/>
      <c r="Y48" s="7"/>
      <c r="Z48" s="7"/>
      <c r="AA48" s="7"/>
    </row>
    <row r="49">
      <c r="A49" s="7"/>
      <c r="L49" s="7"/>
      <c r="W49" s="7"/>
      <c r="X49" s="7"/>
      <c r="Y49" s="7"/>
      <c r="Z49" s="7"/>
      <c r="AA49" s="7"/>
    </row>
    <row r="50">
      <c r="A50" s="7"/>
      <c r="L50" s="7"/>
      <c r="W50" s="7"/>
      <c r="X50" s="7"/>
      <c r="Y50" s="7"/>
      <c r="Z50" s="7"/>
      <c r="AA50" s="7"/>
    </row>
    <row r="51">
      <c r="A51" s="7"/>
      <c r="L51" s="7"/>
      <c r="W51" s="7"/>
      <c r="X51" s="7"/>
      <c r="Y51" s="7"/>
      <c r="Z51" s="7"/>
      <c r="AA51" s="7"/>
    </row>
    <row r="52">
      <c r="A52" s="7"/>
      <c r="L52" s="7"/>
      <c r="W52" s="7"/>
      <c r="X52" s="7"/>
      <c r="Y52" s="7"/>
      <c r="Z52" s="7"/>
      <c r="AA52" s="7"/>
    </row>
    <row r="53">
      <c r="A53" s="7"/>
      <c r="L53" s="7"/>
      <c r="W53" s="7"/>
      <c r="X53" s="7"/>
      <c r="Y53" s="7"/>
      <c r="Z53" s="7"/>
      <c r="AA53" s="7"/>
    </row>
    <row r="54">
      <c r="A54" s="7"/>
      <c r="L54" s="7"/>
      <c r="W54" s="7"/>
      <c r="X54" s="7"/>
      <c r="Y54" s="7"/>
      <c r="Z54" s="7"/>
      <c r="AA54" s="7"/>
    </row>
    <row r="55">
      <c r="A55" s="7"/>
      <c r="L55" s="7"/>
      <c r="W55" s="7"/>
      <c r="X55" s="7"/>
      <c r="Y55" s="7"/>
      <c r="Z55" s="7"/>
      <c r="AA55" s="7"/>
    </row>
    <row r="56">
      <c r="A56" s="7"/>
      <c r="L56" s="7"/>
      <c r="W56" s="7"/>
      <c r="X56" s="7"/>
      <c r="Y56" s="7"/>
      <c r="Z56" s="7"/>
      <c r="AA56" s="7"/>
    </row>
    <row r="57">
      <c r="A57" s="7"/>
      <c r="L57" s="7"/>
      <c r="W57" s="7"/>
      <c r="X57" s="7"/>
      <c r="Y57" s="7"/>
      <c r="Z57" s="7"/>
      <c r="AA57" s="7"/>
    </row>
    <row r="58">
      <c r="A58" s="7"/>
      <c r="L58" s="7"/>
      <c r="W58" s="7"/>
      <c r="X58" s="7"/>
      <c r="Y58" s="7"/>
      <c r="Z58" s="7"/>
      <c r="AA58" s="7"/>
    </row>
    <row r="59">
      <c r="A59" s="7"/>
      <c r="L59" s="7"/>
      <c r="W59" s="7"/>
      <c r="X59" s="7"/>
      <c r="Y59" s="7"/>
      <c r="Z59" s="7"/>
      <c r="AA59" s="7"/>
    </row>
    <row r="60">
      <c r="A60" s="7"/>
      <c r="L60" s="7"/>
      <c r="W60" s="7"/>
      <c r="X60" s="7"/>
      <c r="Y60" s="7"/>
      <c r="Z60" s="7"/>
      <c r="AA60" s="7"/>
    </row>
    <row r="61">
      <c r="A61" s="7"/>
      <c r="L61" s="7"/>
      <c r="W61" s="7"/>
      <c r="X61" s="7"/>
      <c r="Y61" s="7"/>
      <c r="Z61" s="7"/>
      <c r="AA61" s="7"/>
    </row>
    <row r="62">
      <c r="A62" s="7"/>
      <c r="L62" s="7"/>
      <c r="W62" s="7"/>
      <c r="X62" s="7"/>
      <c r="Y62" s="7"/>
      <c r="Z62" s="7"/>
      <c r="AA62" s="7"/>
    </row>
    <row r="63">
      <c r="A63" s="7"/>
      <c r="L63" s="7"/>
      <c r="W63" s="7"/>
      <c r="X63" s="7"/>
      <c r="Y63" s="7"/>
      <c r="Z63" s="7"/>
      <c r="AA63" s="7"/>
    </row>
    <row r="64">
      <c r="A64" s="7"/>
      <c r="L64" s="7"/>
      <c r="W64" s="7"/>
      <c r="X64" s="7"/>
      <c r="Y64" s="7"/>
      <c r="Z64" s="7"/>
      <c r="AA64" s="7"/>
    </row>
    <row r="65">
      <c r="A65" s="7"/>
      <c r="L65" s="7"/>
      <c r="W65" s="7"/>
      <c r="X65" s="7"/>
      <c r="Y65" s="7"/>
      <c r="Z65" s="7"/>
      <c r="AA65" s="7"/>
    </row>
    <row r="66">
      <c r="A66" s="7"/>
      <c r="L66" s="7"/>
      <c r="W66" s="7"/>
      <c r="X66" s="7"/>
      <c r="Y66" s="7"/>
      <c r="Z66" s="7"/>
      <c r="AA66" s="7"/>
    </row>
    <row r="67">
      <c r="A67" s="7"/>
      <c r="L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0" t="s">
        <v>50</v>
      </c>
      <c r="B69" s="10" t="s">
        <v>3</v>
      </c>
      <c r="C69" s="10" t="s">
        <v>4</v>
      </c>
      <c r="D69" s="10" t="s">
        <v>5</v>
      </c>
      <c r="E69" s="10" t="s">
        <v>6</v>
      </c>
      <c r="F69" s="10" t="s">
        <v>7</v>
      </c>
      <c r="G69" s="10" t="s">
        <v>8</v>
      </c>
      <c r="H69" s="10" t="s">
        <v>9</v>
      </c>
      <c r="I69" s="10" t="s">
        <v>10</v>
      </c>
      <c r="J69" s="10" t="s">
        <v>11</v>
      </c>
      <c r="K69" s="10" t="s">
        <v>12</v>
      </c>
      <c r="L69" s="10" t="s">
        <v>13</v>
      </c>
      <c r="M69" s="10" t="s">
        <v>14</v>
      </c>
      <c r="N69" s="11" t="s">
        <v>15</v>
      </c>
      <c r="O69" s="11" t="s">
        <v>16</v>
      </c>
      <c r="P69" s="11" t="s">
        <v>17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 t="s">
        <v>49</v>
      </c>
      <c r="B70" s="24">
        <v>1.1188922009999998E7</v>
      </c>
      <c r="C70" s="24">
        <v>1.06008142E7</v>
      </c>
      <c r="D70" s="26">
        <v>1.0620456E7</v>
      </c>
      <c r="E70" s="24">
        <v>1.0916009110000001E7</v>
      </c>
      <c r="F70" s="24">
        <v>1.003389845E7</v>
      </c>
      <c r="G70" s="24">
        <v>1.0576507870000001E7</v>
      </c>
      <c r="H70" s="24">
        <v>1.1026631909999996E7</v>
      </c>
      <c r="I70" s="24">
        <v>1.1718881280000001E7</v>
      </c>
      <c r="J70" s="24">
        <v>1.100096458E7</v>
      </c>
      <c r="K70" s="24">
        <v>1.1213234150000002E7</v>
      </c>
      <c r="L70" s="24">
        <v>1.063761595E7</v>
      </c>
      <c r="M70" s="24">
        <v>9978489.22</v>
      </c>
      <c r="N70" s="24">
        <v>1.20832785E7</v>
      </c>
      <c r="O70" s="24">
        <v>1.087321744E7</v>
      </c>
      <c r="P70" s="24">
        <v>1.2273693190000001E7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6">
    <mergeCell ref="C1:N1"/>
    <mergeCell ref="O1:Z1"/>
    <mergeCell ref="B27:K46"/>
    <mergeCell ref="M27:V46"/>
    <mergeCell ref="B48:K67"/>
    <mergeCell ref="M48:V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4.44"/>
    <col customWidth="1" min="3" max="3" width="13.89"/>
    <col customWidth="1" min="4" max="4" width="17.11"/>
    <col customWidth="1" min="5" max="5" width="15.33"/>
    <col customWidth="1" min="6" max="7" width="17.67"/>
    <col customWidth="1" min="9" max="9" width="25.44"/>
    <col customWidth="1" min="10" max="10" width="23.11"/>
    <col customWidth="1" min="11" max="11" width="16.0"/>
    <col customWidth="1" min="13" max="13" width="14.67"/>
  </cols>
  <sheetData>
    <row r="1" ht="27.75" customHeight="1">
      <c r="A1" s="27" t="s">
        <v>51</v>
      </c>
      <c r="J1" s="28"/>
      <c r="K1" s="28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30" t="s">
        <v>52</v>
      </c>
      <c r="B2" s="30" t="s">
        <v>53</v>
      </c>
      <c r="C2" s="31" t="s">
        <v>54</v>
      </c>
      <c r="D2" s="31" t="s">
        <v>55</v>
      </c>
      <c r="E2" s="31" t="s">
        <v>56</v>
      </c>
      <c r="F2" s="31" t="s">
        <v>57</v>
      </c>
      <c r="G2" s="32" t="s">
        <v>58</v>
      </c>
      <c r="H2" s="5"/>
      <c r="I2" s="33" t="s">
        <v>59</v>
      </c>
      <c r="J2" s="33" t="s">
        <v>60</v>
      </c>
      <c r="K2" s="33" t="s">
        <v>61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4"/>
      <c r="B3" s="34"/>
      <c r="C3" s="31" t="s">
        <v>62</v>
      </c>
      <c r="D3" s="31" t="s">
        <v>62</v>
      </c>
      <c r="E3" s="31" t="s">
        <v>62</v>
      </c>
      <c r="F3" s="31" t="s">
        <v>62</v>
      </c>
      <c r="G3" s="31" t="s">
        <v>63</v>
      </c>
      <c r="H3" s="31" t="s">
        <v>64</v>
      </c>
      <c r="I3" s="34"/>
      <c r="J3" s="34"/>
      <c r="K3" s="3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>
      <c r="A4" s="35">
        <f t="array" ref="A4:A25">SEQUENCE(22,1)</f>
        <v>1</v>
      </c>
      <c r="B4" s="36" t="s">
        <v>27</v>
      </c>
      <c r="C4" s="37">
        <v>4045731.25</v>
      </c>
      <c r="D4" s="37">
        <v>5047852.0</v>
      </c>
      <c r="E4" s="38">
        <v>3802379.0</v>
      </c>
      <c r="F4" s="37">
        <v>74669.87</v>
      </c>
      <c r="G4" s="37">
        <f t="shared" ref="G4:G25" si="1">D4-E4-F4</f>
        <v>1170803.13</v>
      </c>
      <c r="H4" s="39">
        <f t="shared" ref="H4:H26" si="2">(G4/D4)*100</f>
        <v>23.19408592</v>
      </c>
      <c r="I4" s="35"/>
      <c r="J4" s="35" t="s">
        <v>65</v>
      </c>
      <c r="K4" s="40" t="s">
        <v>66</v>
      </c>
      <c r="L4" s="29"/>
      <c r="M4" s="29">
        <f t="shared" ref="M4:M26" si="3">D4/31/24</f>
        <v>6784.747312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>
      <c r="A5" s="35">
        <v>2.0</v>
      </c>
      <c r="B5" s="36" t="s">
        <v>28</v>
      </c>
      <c r="C5" s="38">
        <v>6517693.0</v>
      </c>
      <c r="D5" s="38">
        <v>6303346.46</v>
      </c>
      <c r="E5" s="38">
        <v>4425474.0</v>
      </c>
      <c r="F5" s="41">
        <v>397157.13</v>
      </c>
      <c r="G5" s="37">
        <f t="shared" si="1"/>
        <v>1480715.33</v>
      </c>
      <c r="H5" s="39">
        <f t="shared" si="2"/>
        <v>23.49093992</v>
      </c>
      <c r="I5" s="35"/>
      <c r="J5" s="42" t="s">
        <v>67</v>
      </c>
      <c r="K5" s="43" t="s">
        <v>68</v>
      </c>
      <c r="L5" s="29"/>
      <c r="M5" s="29">
        <f t="shared" si="3"/>
        <v>8472.239866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>
      <c r="A6" s="35">
        <v>3.0</v>
      </c>
      <c r="B6" s="36" t="s">
        <v>29</v>
      </c>
      <c r="C6" s="38">
        <v>2868881.02</v>
      </c>
      <c r="D6" s="38">
        <v>1952897.5</v>
      </c>
      <c r="E6" s="38">
        <v>1282967.0</v>
      </c>
      <c r="F6" s="38">
        <v>69655.49</v>
      </c>
      <c r="G6" s="37">
        <f t="shared" si="1"/>
        <v>600275.01</v>
      </c>
      <c r="H6" s="39">
        <f t="shared" si="2"/>
        <v>30.73766083</v>
      </c>
      <c r="I6" s="35"/>
      <c r="J6" s="35"/>
      <c r="K6" s="40"/>
      <c r="L6" s="29"/>
      <c r="M6" s="29">
        <f t="shared" si="3"/>
        <v>2624.862231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>
      <c r="A7" s="35">
        <v>4.0</v>
      </c>
      <c r="B7" s="36" t="s">
        <v>30</v>
      </c>
      <c r="C7" s="38">
        <v>2654800.0</v>
      </c>
      <c r="D7" s="38">
        <v>2377215.0</v>
      </c>
      <c r="E7" s="38">
        <v>1701438.0</v>
      </c>
      <c r="F7" s="38">
        <v>66822.0</v>
      </c>
      <c r="G7" s="37">
        <f t="shared" si="1"/>
        <v>608955</v>
      </c>
      <c r="H7" s="39">
        <f t="shared" si="2"/>
        <v>25.61631994</v>
      </c>
      <c r="I7" s="35"/>
      <c r="J7" s="42" t="s">
        <v>69</v>
      </c>
      <c r="K7" s="43" t="s">
        <v>70</v>
      </c>
      <c r="L7" s="29"/>
      <c r="M7" s="29">
        <f t="shared" si="3"/>
        <v>3195.181452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>
      <c r="A8" s="35">
        <v>5.0</v>
      </c>
      <c r="B8" s="36" t="s">
        <v>31</v>
      </c>
      <c r="C8" s="38">
        <v>2382265.0</v>
      </c>
      <c r="D8" s="38">
        <v>2632872.02</v>
      </c>
      <c r="E8" s="38">
        <v>1488023.0</v>
      </c>
      <c r="F8" s="41">
        <f>210500</f>
        <v>210500</v>
      </c>
      <c r="G8" s="37">
        <f t="shared" si="1"/>
        <v>934349.02</v>
      </c>
      <c r="H8" s="39">
        <f t="shared" si="2"/>
        <v>35.48782519</v>
      </c>
      <c r="I8" s="35"/>
      <c r="J8" s="42" t="s">
        <v>71</v>
      </c>
      <c r="K8" s="43">
        <v>6.43963619E8</v>
      </c>
      <c r="L8" s="29"/>
      <c r="M8" s="29">
        <f t="shared" si="3"/>
        <v>3538.806478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>
      <c r="A9" s="35">
        <v>6.0</v>
      </c>
      <c r="B9" s="36" t="s">
        <v>32</v>
      </c>
      <c r="C9" s="38">
        <v>2962242.0</v>
      </c>
      <c r="D9" s="38">
        <v>2836712.0</v>
      </c>
      <c r="E9" s="38">
        <v>1971000.0</v>
      </c>
      <c r="F9" s="38">
        <v>60156.0</v>
      </c>
      <c r="G9" s="37">
        <f t="shared" si="1"/>
        <v>805556</v>
      </c>
      <c r="H9" s="39">
        <f t="shared" si="2"/>
        <v>28.39752502</v>
      </c>
      <c r="I9" s="35"/>
      <c r="J9" s="42" t="s">
        <v>72</v>
      </c>
      <c r="K9" s="43" t="s">
        <v>73</v>
      </c>
      <c r="L9" s="29"/>
      <c r="M9" s="29">
        <f t="shared" si="3"/>
        <v>3812.784946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>
      <c r="A10" s="35">
        <v>7.0</v>
      </c>
      <c r="B10" s="36" t="s">
        <v>33</v>
      </c>
      <c r="C10" s="44">
        <v>1064049.3</v>
      </c>
      <c r="D10" s="44">
        <v>1054778.0</v>
      </c>
      <c r="E10" s="44">
        <f>870557+17872+32+20+347</f>
        <v>888828</v>
      </c>
      <c r="F10" s="44">
        <v>46500.0</v>
      </c>
      <c r="G10" s="37">
        <f t="shared" si="1"/>
        <v>119450</v>
      </c>
      <c r="H10" s="39">
        <f t="shared" si="2"/>
        <v>11.32465789</v>
      </c>
      <c r="I10" s="35"/>
      <c r="J10" s="42" t="s">
        <v>74</v>
      </c>
      <c r="K10" s="43" t="s">
        <v>75</v>
      </c>
      <c r="L10" s="29"/>
      <c r="M10" s="29">
        <f t="shared" si="3"/>
        <v>1417.712366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>
      <c r="A11" s="35">
        <v>8.0</v>
      </c>
      <c r="B11" s="36" t="s">
        <v>34</v>
      </c>
      <c r="C11" s="38">
        <v>1375234.38</v>
      </c>
      <c r="D11" s="38">
        <v>1352550.0</v>
      </c>
      <c r="E11" s="38">
        <v>1128045.0</v>
      </c>
      <c r="F11" s="38">
        <v>42515.02</v>
      </c>
      <c r="G11" s="37">
        <f t="shared" si="1"/>
        <v>181989.98</v>
      </c>
      <c r="H11" s="39">
        <f t="shared" si="2"/>
        <v>13.45532365</v>
      </c>
      <c r="I11" s="35"/>
      <c r="J11" s="42" t="s">
        <v>76</v>
      </c>
      <c r="K11" s="43" t="s">
        <v>77</v>
      </c>
      <c r="L11" s="29"/>
      <c r="M11" s="29">
        <f t="shared" si="3"/>
        <v>1817.943548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>
      <c r="A12" s="35">
        <v>9.0</v>
      </c>
      <c r="B12" s="36" t="s">
        <v>35</v>
      </c>
      <c r="C12" s="38">
        <v>3105426.0</v>
      </c>
      <c r="D12" s="38">
        <v>2824500.0</v>
      </c>
      <c r="E12" s="38">
        <v>1731577.0</v>
      </c>
      <c r="F12" s="41">
        <v>175950.0</v>
      </c>
      <c r="G12" s="37">
        <f t="shared" si="1"/>
        <v>916973</v>
      </c>
      <c r="H12" s="39">
        <f t="shared" si="2"/>
        <v>32.46496725</v>
      </c>
      <c r="I12" s="35"/>
      <c r="J12" s="42" t="s">
        <v>78</v>
      </c>
      <c r="K12" s="45" t="s">
        <v>79</v>
      </c>
      <c r="L12" s="29"/>
      <c r="M12" s="29">
        <f t="shared" si="3"/>
        <v>3796.370968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>
      <c r="A13" s="35">
        <v>10.0</v>
      </c>
      <c r="B13" s="36" t="s">
        <v>36</v>
      </c>
      <c r="C13" s="37">
        <v>986356.6</v>
      </c>
      <c r="D13" s="46">
        <v>790180.0</v>
      </c>
      <c r="E13" s="37">
        <v>525905.0</v>
      </c>
      <c r="F13" s="44">
        <v>27046.0</v>
      </c>
      <c r="G13" s="37">
        <f t="shared" si="1"/>
        <v>237229</v>
      </c>
      <c r="H13" s="39">
        <f t="shared" si="2"/>
        <v>30.02214685</v>
      </c>
      <c r="I13" s="35"/>
      <c r="J13" s="35"/>
      <c r="K13" s="40"/>
      <c r="L13" s="29"/>
      <c r="M13" s="29">
        <f t="shared" si="3"/>
        <v>1062.069892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>
      <c r="A14" s="35">
        <v>11.0</v>
      </c>
      <c r="B14" s="36" t="s">
        <v>37</v>
      </c>
      <c r="C14" s="38">
        <v>2053947.0</v>
      </c>
      <c r="D14" s="38">
        <v>1981451.0</v>
      </c>
      <c r="E14" s="38">
        <v>1573915.0</v>
      </c>
      <c r="F14" s="47">
        <v>88965.0</v>
      </c>
      <c r="G14" s="37">
        <f t="shared" si="1"/>
        <v>318571</v>
      </c>
      <c r="H14" s="39">
        <f t="shared" si="2"/>
        <v>16.07766228</v>
      </c>
      <c r="I14" s="35"/>
      <c r="J14" s="42" t="s">
        <v>80</v>
      </c>
      <c r="K14" s="43" t="s">
        <v>81</v>
      </c>
      <c r="L14" s="29"/>
      <c r="M14" s="29">
        <f t="shared" si="3"/>
        <v>2663.240591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>
      <c r="A15" s="35">
        <v>12.0</v>
      </c>
      <c r="B15" s="36" t="s">
        <v>38</v>
      </c>
      <c r="C15" s="38">
        <v>3344490.0</v>
      </c>
      <c r="D15" s="38">
        <v>3242974.0</v>
      </c>
      <c r="E15" s="38">
        <v>2262585.0</v>
      </c>
      <c r="F15" s="41">
        <v>131653.0</v>
      </c>
      <c r="G15" s="37">
        <f t="shared" si="1"/>
        <v>848736</v>
      </c>
      <c r="H15" s="39">
        <f t="shared" si="2"/>
        <v>26.17153267</v>
      </c>
      <c r="I15" s="35"/>
      <c r="J15" s="42" t="s">
        <v>82</v>
      </c>
      <c r="K15" s="43" t="s">
        <v>83</v>
      </c>
      <c r="L15" s="29"/>
      <c r="M15" s="29">
        <f t="shared" si="3"/>
        <v>4358.836022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>
      <c r="A16" s="35">
        <v>13.0</v>
      </c>
      <c r="B16" s="36" t="s">
        <v>39</v>
      </c>
      <c r="C16" s="38">
        <v>1050797.0</v>
      </c>
      <c r="D16" s="38">
        <v>852449.0</v>
      </c>
      <c r="E16" s="38">
        <v>406572.0</v>
      </c>
      <c r="F16" s="38">
        <v>17876.0</v>
      </c>
      <c r="G16" s="37">
        <f t="shared" si="1"/>
        <v>428001</v>
      </c>
      <c r="H16" s="39">
        <f t="shared" si="2"/>
        <v>50.20839956</v>
      </c>
      <c r="I16" s="35"/>
      <c r="J16" s="42" t="s">
        <v>84</v>
      </c>
      <c r="K16" s="40"/>
      <c r="L16" s="29"/>
      <c r="M16" s="29">
        <f t="shared" si="3"/>
        <v>1145.764785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>
      <c r="A17" s="35">
        <v>14.0</v>
      </c>
      <c r="B17" s="36" t="s">
        <v>40</v>
      </c>
      <c r="C17" s="37">
        <v>2284323.0</v>
      </c>
      <c r="D17" s="37">
        <v>2012679.0</v>
      </c>
      <c r="E17" s="38">
        <v>1285024.0</v>
      </c>
      <c r="F17" s="37">
        <v>55149.0</v>
      </c>
      <c r="G17" s="37">
        <f t="shared" si="1"/>
        <v>672506</v>
      </c>
      <c r="H17" s="39">
        <f t="shared" si="2"/>
        <v>33.41347527</v>
      </c>
      <c r="I17" s="35"/>
      <c r="J17" s="40" t="s">
        <v>85</v>
      </c>
      <c r="K17" s="40" t="s">
        <v>86</v>
      </c>
      <c r="L17" s="29"/>
      <c r="M17" s="29">
        <f t="shared" si="3"/>
        <v>2705.21371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>
      <c r="A18" s="35">
        <v>15.0</v>
      </c>
      <c r="B18" s="36" t="s">
        <v>41</v>
      </c>
      <c r="C18" s="38">
        <v>596361.89</v>
      </c>
      <c r="D18" s="38">
        <v>576657.0</v>
      </c>
      <c r="E18" s="38">
        <v>233970.0</v>
      </c>
      <c r="F18" s="38">
        <v>11400.69</v>
      </c>
      <c r="G18" s="37">
        <f t="shared" si="1"/>
        <v>331286.31</v>
      </c>
      <c r="H18" s="39">
        <f t="shared" si="2"/>
        <v>57.44945609</v>
      </c>
      <c r="I18" s="35"/>
      <c r="J18" s="42" t="s">
        <v>87</v>
      </c>
      <c r="K18" s="43" t="s">
        <v>88</v>
      </c>
      <c r="L18" s="29"/>
      <c r="M18" s="29">
        <f t="shared" si="3"/>
        <v>775.0766129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>
      <c r="A19" s="35">
        <v>16.0</v>
      </c>
      <c r="B19" s="36" t="s">
        <v>42</v>
      </c>
      <c r="C19" s="38">
        <v>1644981.0</v>
      </c>
      <c r="D19" s="38">
        <v>1279169.0</v>
      </c>
      <c r="E19" s="38">
        <v>489725.0</v>
      </c>
      <c r="F19" s="38">
        <v>1693.0</v>
      </c>
      <c r="G19" s="37">
        <f t="shared" si="1"/>
        <v>787751</v>
      </c>
      <c r="H19" s="39">
        <f t="shared" si="2"/>
        <v>61.58302773</v>
      </c>
      <c r="I19" s="35"/>
      <c r="J19" s="42" t="s">
        <v>89</v>
      </c>
      <c r="K19" s="43" t="s">
        <v>90</v>
      </c>
      <c r="L19" s="29"/>
      <c r="M19" s="29">
        <f t="shared" si="3"/>
        <v>1719.313172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>
      <c r="A20" s="35">
        <v>17.0</v>
      </c>
      <c r="B20" s="36" t="s">
        <v>43</v>
      </c>
      <c r="C20" s="38">
        <v>163232.0</v>
      </c>
      <c r="D20" s="38">
        <v>153416.0</v>
      </c>
      <c r="E20" s="38">
        <v>63425.0</v>
      </c>
      <c r="F20" s="38">
        <v>53.0</v>
      </c>
      <c r="G20" s="37">
        <f t="shared" si="1"/>
        <v>89938</v>
      </c>
      <c r="H20" s="39">
        <f t="shared" si="2"/>
        <v>58.62361162</v>
      </c>
      <c r="I20" s="35"/>
      <c r="J20" s="42" t="s">
        <v>91</v>
      </c>
      <c r="K20" s="43" t="s">
        <v>92</v>
      </c>
      <c r="L20" s="48">
        <v>49850.0</v>
      </c>
      <c r="M20" s="29">
        <f t="shared" si="3"/>
        <v>206.2043011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>
      <c r="A21" s="35">
        <v>18.0</v>
      </c>
      <c r="B21" s="36" t="s">
        <v>44</v>
      </c>
      <c r="C21" s="38">
        <v>663582.85</v>
      </c>
      <c r="D21" s="38">
        <v>586321.87</v>
      </c>
      <c r="E21" s="38">
        <v>299556.0</v>
      </c>
      <c r="F21" s="38">
        <v>35810.0</v>
      </c>
      <c r="G21" s="37">
        <f t="shared" si="1"/>
        <v>250955.87</v>
      </c>
      <c r="H21" s="39">
        <f t="shared" si="2"/>
        <v>42.80172425</v>
      </c>
      <c r="I21" s="35"/>
      <c r="J21" s="42" t="s">
        <v>93</v>
      </c>
      <c r="K21" s="43">
        <v>9.92470958E8</v>
      </c>
      <c r="L21" s="29"/>
      <c r="M21" s="29">
        <f t="shared" si="3"/>
        <v>788.0670296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>
      <c r="A22" s="35">
        <v>19.0</v>
      </c>
      <c r="B22" s="36" t="s">
        <v>45</v>
      </c>
      <c r="C22" s="38">
        <v>186039.0</v>
      </c>
      <c r="D22" s="38">
        <v>154079.0</v>
      </c>
      <c r="E22" s="38">
        <v>107984.0</v>
      </c>
      <c r="F22" s="38">
        <v>8090.15</v>
      </c>
      <c r="G22" s="37">
        <f t="shared" si="1"/>
        <v>38004.85</v>
      </c>
      <c r="H22" s="39">
        <f t="shared" si="2"/>
        <v>24.66582078</v>
      </c>
      <c r="I22" s="35"/>
      <c r="J22" s="49" t="s">
        <v>94</v>
      </c>
      <c r="K22" s="50" t="s">
        <v>95</v>
      </c>
      <c r="L22" s="29"/>
      <c r="M22" s="29">
        <f t="shared" si="3"/>
        <v>207.0954301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>
      <c r="A23" s="35">
        <v>20.0</v>
      </c>
      <c r="B23" s="36" t="s">
        <v>46</v>
      </c>
      <c r="C23" s="38">
        <v>637247.0</v>
      </c>
      <c r="D23" s="37">
        <v>634818.0</v>
      </c>
      <c r="E23" s="37">
        <v>360337.0</v>
      </c>
      <c r="F23" s="38">
        <v>23554.0</v>
      </c>
      <c r="G23" s="37">
        <f t="shared" si="1"/>
        <v>250927</v>
      </c>
      <c r="H23" s="39">
        <f t="shared" si="2"/>
        <v>39.5273921</v>
      </c>
      <c r="I23" s="35"/>
      <c r="J23" s="42" t="s">
        <v>96</v>
      </c>
      <c r="K23" s="43" t="s">
        <v>97</v>
      </c>
      <c r="L23" s="29"/>
      <c r="M23" s="29">
        <f t="shared" si="3"/>
        <v>853.25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>
      <c r="A24" s="35">
        <v>21.0</v>
      </c>
      <c r="B24" s="36" t="s">
        <v>47</v>
      </c>
      <c r="C24" s="38">
        <v>1726776.0</v>
      </c>
      <c r="D24" s="38">
        <v>1647287.0</v>
      </c>
      <c r="E24" s="38">
        <v>759325.0</v>
      </c>
      <c r="F24" s="38">
        <v>17150.0</v>
      </c>
      <c r="G24" s="37">
        <f t="shared" si="1"/>
        <v>870812</v>
      </c>
      <c r="H24" s="39">
        <f t="shared" si="2"/>
        <v>52.8634051</v>
      </c>
      <c r="I24" s="35"/>
      <c r="J24" s="42"/>
      <c r="K24" s="43"/>
      <c r="L24" s="29"/>
      <c r="M24" s="29">
        <f t="shared" si="3"/>
        <v>2214.09543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>
      <c r="A25" s="35">
        <v>22.0</v>
      </c>
      <c r="B25" s="36" t="s">
        <v>48</v>
      </c>
      <c r="C25" s="38">
        <v>569141.0</v>
      </c>
      <c r="D25" s="38">
        <v>543555.0</v>
      </c>
      <c r="E25" s="38">
        <v>293413.0</v>
      </c>
      <c r="F25" s="38">
        <v>62000.0</v>
      </c>
      <c r="G25" s="37">
        <f t="shared" si="1"/>
        <v>188142</v>
      </c>
      <c r="H25" s="39">
        <f t="shared" si="2"/>
        <v>34.61324061</v>
      </c>
      <c r="I25" s="35"/>
      <c r="J25" s="42" t="s">
        <v>98</v>
      </c>
      <c r="K25" s="43" t="s">
        <v>99</v>
      </c>
      <c r="L25" s="29"/>
      <c r="M25" s="29">
        <f t="shared" si="3"/>
        <v>730.5846774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>
      <c r="A26" s="51" t="s">
        <v>100</v>
      </c>
      <c r="B26" s="5"/>
      <c r="C26" s="52">
        <f>SUM(C4:C25)</f>
        <v>42883596.29</v>
      </c>
      <c r="D26" s="52">
        <f t="shared" ref="D26:G26" si="4">sum(D4:D25)</f>
        <v>40837758.85</v>
      </c>
      <c r="E26" s="52">
        <f t="shared" si="4"/>
        <v>27081467</v>
      </c>
      <c r="F26" s="52">
        <f t="shared" si="4"/>
        <v>1624365.35</v>
      </c>
      <c r="G26" s="52">
        <f t="shared" si="4"/>
        <v>12131926.5</v>
      </c>
      <c r="H26" s="53">
        <f t="shared" si="2"/>
        <v>29.7076207</v>
      </c>
      <c r="I26" s="29"/>
      <c r="J26" s="29"/>
      <c r="K26" s="54"/>
      <c r="L26" s="29"/>
      <c r="M26" s="29">
        <f t="shared" si="3"/>
        <v>54889.46082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54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54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54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54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54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>
      <c r="A32" s="29"/>
      <c r="B32" s="29"/>
      <c r="C32" s="29"/>
      <c r="D32" s="29"/>
      <c r="E32" s="55"/>
      <c r="F32" s="56"/>
      <c r="G32" s="55"/>
      <c r="H32" s="29"/>
      <c r="I32" s="29"/>
      <c r="J32" s="29"/>
      <c r="K32" s="54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54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54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54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54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54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54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54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54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54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54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54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54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54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54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54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54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54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54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54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54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54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54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54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54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54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54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54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54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54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54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54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54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54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54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54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54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54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54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54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54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54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54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54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54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54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54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54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54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54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54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54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54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54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54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54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54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54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54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54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54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54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54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54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54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54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54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54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54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54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54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54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54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54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54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54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54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54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54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54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54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54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54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54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54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54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54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54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54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54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54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54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54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54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54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54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54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54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54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54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54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54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54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54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54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54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54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54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54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54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54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54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54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54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54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54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54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54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54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54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54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54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54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54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54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54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54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54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54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54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54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54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54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54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54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54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54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54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54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54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54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54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54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54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54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54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54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54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54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54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54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54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54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54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54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54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54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54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54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54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54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54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54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54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54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54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54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54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54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54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54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54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54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54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54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54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54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54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54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54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54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54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54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54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54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54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54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54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54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54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54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54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54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54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54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54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54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54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54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54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54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54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54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54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54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54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54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54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54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54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54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54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54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54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54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54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54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54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54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54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54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54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54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54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54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54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54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54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54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54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54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54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54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54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54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54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54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54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54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54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54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54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54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54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54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54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54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54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54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54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54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54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54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54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54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54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54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54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54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54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54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54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54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54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54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54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54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54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54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54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54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54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54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54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54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54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54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54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54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54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54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54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54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54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54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54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54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54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54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54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54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54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54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54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54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54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54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54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54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54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54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54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54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54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54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54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54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54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54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54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54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54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54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54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54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54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54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54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54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54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54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54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54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54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54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54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54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54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54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54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54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54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54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54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54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54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54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54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54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54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54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54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54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54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54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54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54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54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54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54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54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54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54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54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54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54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54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54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54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54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54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54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54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54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54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54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54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54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54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54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54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54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54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54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54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54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54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54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54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54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54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54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54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54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54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54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54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54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54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54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54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54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54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54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54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54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54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54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54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54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54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54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54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54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54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54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54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54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54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54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54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54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54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54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54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54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54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54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54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54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54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54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54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54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54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54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54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54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54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54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54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54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54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54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54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54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54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54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54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54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54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54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54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54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54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54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54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54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54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54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54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54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54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54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54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54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54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54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54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54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54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54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54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54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54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54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54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54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54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54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54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54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54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54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54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54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54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54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54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54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54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54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54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54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54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54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54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54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54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54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54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54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54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54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54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54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54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54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54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54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54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54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54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54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54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54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54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54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54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54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54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54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54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54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54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54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54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54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54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54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54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54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54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54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54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54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54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54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54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54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54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54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54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54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54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54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54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54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54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54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54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54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54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54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54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54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54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54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54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54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54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54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54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54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54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54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54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54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54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54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54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54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54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54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54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54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54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54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54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54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54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54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54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54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54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54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54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54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54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54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54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54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54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54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54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54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54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54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54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54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54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54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54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54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54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54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54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54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54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54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54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54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54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54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54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54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54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54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54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54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54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54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54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54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54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54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54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54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54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54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54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54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54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54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54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54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54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54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54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54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54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54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54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54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54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54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54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54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54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54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54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54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54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54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54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54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54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54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54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54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54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54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54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54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54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54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54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54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54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54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54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54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54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54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54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54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54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54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54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54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54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54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54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54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54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54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54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54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54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54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54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54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54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54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54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54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54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54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54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54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54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54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54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54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54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54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54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54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54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54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54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54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54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54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54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54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54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54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54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54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54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54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54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54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54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54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54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54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54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54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54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54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54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54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54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54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54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54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54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54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54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54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54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54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54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54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54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54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54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54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54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54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54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54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54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54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54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54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54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54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54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54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54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54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54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54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54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54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54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54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54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54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54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54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54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54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54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54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54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54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54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54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54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54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54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54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54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54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54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54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54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54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54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54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54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54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54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54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54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54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54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54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54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54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54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54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54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54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54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54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54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54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54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54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54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54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54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54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54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54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54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54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54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54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54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54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54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54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54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54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54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54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54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54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54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54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54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54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54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54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54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54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54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54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54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54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54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54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54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54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54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54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54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54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54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54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54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54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54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54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54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54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54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54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54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54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54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54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54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54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54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54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54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54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54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54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54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54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54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54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54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54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54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54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54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54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54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54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54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54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54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54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54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54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54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54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54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54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54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54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54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54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54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54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54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54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54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54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54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54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54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54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54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54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54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54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54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54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54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54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54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54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54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54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54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54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54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54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54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54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54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54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54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54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54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54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54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54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54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54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54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54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54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54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54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54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54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54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54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54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54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54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54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54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54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54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54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54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54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54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54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54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54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54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54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54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54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54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54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54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54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54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54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54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54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54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54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54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</sheetData>
  <mergeCells count="8">
    <mergeCell ref="A1:I1"/>
    <mergeCell ref="A2:A3"/>
    <mergeCell ref="B2:B3"/>
    <mergeCell ref="G2:H2"/>
    <mergeCell ref="I2:I3"/>
    <mergeCell ref="J2:J3"/>
    <mergeCell ref="K2:K3"/>
    <mergeCell ref="A26:B26"/>
  </mergeCells>
  <conditionalFormatting sqref="F1:F999">
    <cfRule type="cellIs" dxfId="0" priority="1" operator="greaterThanOrEqual">
      <formula>100000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75"/>
  <cols>
    <col customWidth="1" min="1" max="1" width="4.44"/>
    <col customWidth="1" min="3" max="3" width="15.44"/>
    <col customWidth="1" min="4" max="4" width="19.22"/>
    <col customWidth="1" min="5" max="5" width="24.33"/>
    <col customWidth="1" min="6" max="6" width="15.33"/>
    <col customWidth="1" min="7" max="8" width="17.67"/>
    <col customWidth="1" min="9" max="9" width="20.22"/>
    <col customWidth="1" min="11" max="11" width="15.44"/>
    <col customWidth="1" min="12" max="12" width="25.44"/>
    <col customWidth="1" min="13" max="13" width="23.11"/>
    <col customWidth="1" min="14" max="14" width="16.0"/>
  </cols>
  <sheetData>
    <row r="1" ht="27.75" customHeight="1">
      <c r="A1" s="57" t="s">
        <v>101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>
      <c r="A2" s="59" t="s">
        <v>52</v>
      </c>
      <c r="B2" s="59" t="s">
        <v>53</v>
      </c>
      <c r="C2" s="60" t="s">
        <v>54</v>
      </c>
      <c r="D2" s="60" t="s">
        <v>55</v>
      </c>
      <c r="E2" s="61" t="s">
        <v>102</v>
      </c>
      <c r="F2" s="60" t="s">
        <v>56</v>
      </c>
      <c r="G2" s="60" t="s">
        <v>57</v>
      </c>
      <c r="H2" s="62" t="s">
        <v>58</v>
      </c>
      <c r="I2" s="4"/>
      <c r="J2" s="4"/>
      <c r="K2" s="5"/>
      <c r="L2" s="63" t="s">
        <v>59</v>
      </c>
      <c r="M2" s="63" t="s">
        <v>60</v>
      </c>
      <c r="N2" s="63" t="s">
        <v>61</v>
      </c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>
      <c r="A3" s="34"/>
      <c r="B3" s="34"/>
      <c r="C3" s="60" t="s">
        <v>62</v>
      </c>
      <c r="D3" s="60" t="s">
        <v>62</v>
      </c>
      <c r="E3" s="60" t="s">
        <v>62</v>
      </c>
      <c r="F3" s="60" t="s">
        <v>62</v>
      </c>
      <c r="G3" s="60" t="s">
        <v>62</v>
      </c>
      <c r="H3" s="60" t="s">
        <v>63</v>
      </c>
      <c r="I3" s="61" t="s">
        <v>103</v>
      </c>
      <c r="J3" s="60" t="s">
        <v>64</v>
      </c>
      <c r="K3" s="61" t="s">
        <v>104</v>
      </c>
      <c r="L3" s="34"/>
      <c r="M3" s="34"/>
      <c r="N3" s="34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>
      <c r="A4" s="64">
        <f t="array" ref="A4:A25">SEQUENCE(22,1)</f>
        <v>1</v>
      </c>
      <c r="B4" s="65" t="s">
        <v>27</v>
      </c>
      <c r="C4" s="66">
        <v>4255198.0</v>
      </c>
      <c r="D4" s="1">
        <v>5022242.5</v>
      </c>
      <c r="E4" s="1">
        <f>'ต.ค.68'!D4+D4</f>
        <v>10070094.5</v>
      </c>
      <c r="F4" s="1">
        <v>3857751.0</v>
      </c>
      <c r="G4" s="1">
        <v>120023.73</v>
      </c>
      <c r="H4" s="1">
        <f t="shared" ref="H4:H25" si="2">D4-F4-G4</f>
        <v>1044467.77</v>
      </c>
      <c r="I4" s="1">
        <f>'ต.ค.68'!G4+H4</f>
        <v>2215270.9</v>
      </c>
      <c r="J4" s="1">
        <f t="shared" ref="J4:K4" si="1">(H4/D4)*100</f>
        <v>20.79684065</v>
      </c>
      <c r="K4" s="67">
        <f t="shared" si="1"/>
        <v>21.99851153</v>
      </c>
      <c r="L4" s="8"/>
      <c r="M4" s="8" t="s">
        <v>65</v>
      </c>
      <c r="N4" s="68" t="s">
        <v>66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>
      <c r="A5" s="64">
        <v>2.0</v>
      </c>
      <c r="B5" s="65" t="s">
        <v>28</v>
      </c>
      <c r="C5" s="69">
        <v>6747187.0</v>
      </c>
      <c r="D5" s="70">
        <v>6276816.84</v>
      </c>
      <c r="E5" s="1">
        <f>'ต.ค.68'!D5+D5</f>
        <v>12580163.3</v>
      </c>
      <c r="F5" s="70">
        <v>4637639.0</v>
      </c>
      <c r="G5" s="70">
        <v>385800.0</v>
      </c>
      <c r="H5" s="8">
        <f t="shared" si="2"/>
        <v>1253377.84</v>
      </c>
      <c r="I5" s="1">
        <f>'ต.ค.68'!G5+H5</f>
        <v>2734093.17</v>
      </c>
      <c r="J5" s="8">
        <f t="shared" ref="J5:K5" si="3">(H5/D5)*100</f>
        <v>19.96836728</v>
      </c>
      <c r="K5" s="67">
        <f t="shared" si="3"/>
        <v>21.73336788</v>
      </c>
      <c r="L5" s="8"/>
      <c r="M5" s="71" t="s">
        <v>67</v>
      </c>
      <c r="N5" s="72" t="s">
        <v>105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>
      <c r="A6" s="64">
        <v>3.0</v>
      </c>
      <c r="B6" s="65" t="s">
        <v>29</v>
      </c>
      <c r="C6" s="71">
        <v>2705831.0</v>
      </c>
      <c r="D6" s="71">
        <v>2055642.5</v>
      </c>
      <c r="E6" s="1">
        <f>'ต.ค.68'!D6+D6</f>
        <v>4008540</v>
      </c>
      <c r="F6" s="71">
        <v>1338640.0</v>
      </c>
      <c r="G6" s="71">
        <v>61580.85</v>
      </c>
      <c r="H6" s="8">
        <f t="shared" si="2"/>
        <v>655421.65</v>
      </c>
      <c r="I6" s="1">
        <f>'ต.ค.68'!G6+H6</f>
        <v>1255696.66</v>
      </c>
      <c r="J6" s="8">
        <f t="shared" ref="J6:K6" si="4">(H6/D6)*100</f>
        <v>31.88402896</v>
      </c>
      <c r="K6" s="67">
        <f t="shared" si="4"/>
        <v>31.32553648</v>
      </c>
      <c r="L6" s="8"/>
      <c r="M6" s="8"/>
      <c r="N6" s="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>
      <c r="A7" s="64">
        <v>4.0</v>
      </c>
      <c r="B7" s="65" t="s">
        <v>30</v>
      </c>
      <c r="C7" s="71">
        <v>3069972.0</v>
      </c>
      <c r="D7" s="71">
        <v>2347776.0</v>
      </c>
      <c r="E7" s="1">
        <f>'ต.ค.68'!D7+D7</f>
        <v>4724991</v>
      </c>
      <c r="F7" s="71">
        <v>1772574.0</v>
      </c>
      <c r="G7" s="71">
        <v>33346.68</v>
      </c>
      <c r="H7" s="8">
        <f t="shared" si="2"/>
        <v>541855.32</v>
      </c>
      <c r="I7" s="1">
        <f>'ต.ค.68'!G7+H7</f>
        <v>1150810.32</v>
      </c>
      <c r="J7" s="8">
        <f t="shared" ref="J7:K7" si="5">(H7/D7)*100</f>
        <v>23.07951525</v>
      </c>
      <c r="K7" s="67">
        <f t="shared" si="5"/>
        <v>24.35582036</v>
      </c>
      <c r="L7" s="8"/>
      <c r="M7" s="71" t="s">
        <v>69</v>
      </c>
      <c r="N7" s="72" t="s">
        <v>70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>
      <c r="A8" s="64">
        <v>5.0</v>
      </c>
      <c r="B8" s="65" t="s">
        <v>31</v>
      </c>
      <c r="C8" s="71">
        <v>2381340.0</v>
      </c>
      <c r="D8" s="71">
        <v>2655239.95</v>
      </c>
      <c r="E8" s="1">
        <f>'ต.ค.68'!D8+D8</f>
        <v>5288111.97</v>
      </c>
      <c r="F8" s="71">
        <v>1542140.0</v>
      </c>
      <c r="G8" s="71">
        <v>185000.0</v>
      </c>
      <c r="H8" s="8">
        <f t="shared" si="2"/>
        <v>928099.95</v>
      </c>
      <c r="I8" s="1">
        <f>'ต.ค.68'!G8+H8</f>
        <v>1862448.97</v>
      </c>
      <c r="J8" s="8">
        <f t="shared" ref="J8:K8" si="6">(H8/D8)*100</f>
        <v>34.95352463</v>
      </c>
      <c r="K8" s="67">
        <f t="shared" si="6"/>
        <v>35.21954491</v>
      </c>
      <c r="L8" s="8"/>
      <c r="M8" s="71" t="s">
        <v>71</v>
      </c>
      <c r="N8" s="71">
        <v>6.43963619E8</v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>
      <c r="A9" s="64">
        <v>6.0</v>
      </c>
      <c r="B9" s="65" t="s">
        <v>32</v>
      </c>
      <c r="C9" s="73">
        <v>2901150.0</v>
      </c>
      <c r="D9" s="73">
        <v>2784050.0</v>
      </c>
      <c r="E9" s="1">
        <f>'ต.ค.68'!D9+D9</f>
        <v>5620762</v>
      </c>
      <c r="F9" s="74">
        <v>2079189.0</v>
      </c>
      <c r="G9" s="74">
        <v>62946.0</v>
      </c>
      <c r="H9" s="8">
        <f t="shared" si="2"/>
        <v>641915</v>
      </c>
      <c r="I9" s="1">
        <f>'ต.ค.68'!G9+H9</f>
        <v>1447471</v>
      </c>
      <c r="J9" s="8">
        <f t="shared" ref="J9:K9" si="7">(H9/D9)*100</f>
        <v>23.05687757</v>
      </c>
      <c r="K9" s="67">
        <f t="shared" si="7"/>
        <v>25.75222007</v>
      </c>
      <c r="L9" s="8"/>
      <c r="M9" s="71" t="s">
        <v>72</v>
      </c>
      <c r="N9" s="72" t="s">
        <v>73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>
      <c r="A10" s="75">
        <v>7.0</v>
      </c>
      <c r="B10" s="76" t="s">
        <v>33</v>
      </c>
      <c r="C10" s="77">
        <f>1036078.3</f>
        <v>1036078.3</v>
      </c>
      <c r="D10" s="77">
        <v>1026248.0</v>
      </c>
      <c r="E10" s="1">
        <f>'ต.ค.68'!D10+D10</f>
        <v>2081026</v>
      </c>
      <c r="F10" s="77">
        <f>856187+17543+93+15+436</f>
        <v>874274</v>
      </c>
      <c r="G10" s="77">
        <v>46790.45</v>
      </c>
      <c r="H10" s="16">
        <f t="shared" si="2"/>
        <v>105183.55</v>
      </c>
      <c r="I10" s="1">
        <f>'ต.ค.68'!G10+H10</f>
        <v>224633.55</v>
      </c>
      <c r="J10" s="16">
        <f t="shared" ref="J10:K10" si="8">(H10/D10)*100</f>
        <v>10.24933057</v>
      </c>
      <c r="K10" s="67">
        <f t="shared" si="8"/>
        <v>10.79436538</v>
      </c>
      <c r="L10" s="16"/>
      <c r="M10" s="78" t="s">
        <v>106</v>
      </c>
      <c r="N10" s="79" t="s">
        <v>107</v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>
      <c r="A11" s="64">
        <v>8.0</v>
      </c>
      <c r="B11" s="65" t="s">
        <v>34</v>
      </c>
      <c r="C11" s="71">
        <v>1343913.0</v>
      </c>
      <c r="D11" s="71">
        <v>1316903.0</v>
      </c>
      <c r="E11" s="1">
        <f>'ต.ค.68'!D11+D11</f>
        <v>2669453</v>
      </c>
      <c r="F11" s="71">
        <v>1147465.0</v>
      </c>
      <c r="G11" s="71">
        <v>42985.3</v>
      </c>
      <c r="H11" s="8">
        <f t="shared" si="2"/>
        <v>126452.7</v>
      </c>
      <c r="I11" s="1">
        <f>'ต.ค.68'!G11+H11</f>
        <v>308442.68</v>
      </c>
      <c r="J11" s="8">
        <f t="shared" ref="J11:K11" si="9">(H11/D11)*100</f>
        <v>9.602278983</v>
      </c>
      <c r="K11" s="67">
        <f t="shared" si="9"/>
        <v>11.55452746</v>
      </c>
      <c r="L11" s="8"/>
      <c r="M11" s="71" t="s">
        <v>76</v>
      </c>
      <c r="N11" s="72" t="s">
        <v>108</v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>
      <c r="A12" s="64">
        <v>9.0</v>
      </c>
      <c r="B12" s="65" t="s">
        <v>35</v>
      </c>
      <c r="C12" s="71">
        <v>3006713.0</v>
      </c>
      <c r="D12" s="71">
        <v>2717345.0</v>
      </c>
      <c r="E12" s="1">
        <f>'ต.ค.68'!D12+D12</f>
        <v>5541845</v>
      </c>
      <c r="F12" s="71">
        <v>1731577.0</v>
      </c>
      <c r="G12" s="71">
        <v>153500.0</v>
      </c>
      <c r="H12" s="8">
        <f t="shared" si="2"/>
        <v>832268</v>
      </c>
      <c r="I12" s="1">
        <f>'ต.ค.68'!G12+H12</f>
        <v>1749241</v>
      </c>
      <c r="J12" s="8">
        <f t="shared" ref="J12:K12" si="10">(H12/D12)*100</f>
        <v>30.6279843</v>
      </c>
      <c r="K12" s="67">
        <f t="shared" si="10"/>
        <v>31.56423538</v>
      </c>
      <c r="L12" s="8"/>
      <c r="M12" s="71" t="s">
        <v>78</v>
      </c>
      <c r="N12" s="80" t="s">
        <v>79</v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>
      <c r="A13" s="64">
        <v>10.0</v>
      </c>
      <c r="B13" s="65" t="s">
        <v>36</v>
      </c>
      <c r="C13" s="71">
        <v>856948.5</v>
      </c>
      <c r="D13" s="71">
        <v>743506.0</v>
      </c>
      <c r="E13" s="1">
        <f>'ต.ค.68'!D13+D13</f>
        <v>1533686</v>
      </c>
      <c r="F13" s="71">
        <v>553810.0</v>
      </c>
      <c r="G13" s="71">
        <v>3573.0</v>
      </c>
      <c r="H13" s="8">
        <f t="shared" si="2"/>
        <v>186123</v>
      </c>
      <c r="I13" s="1">
        <f>'ต.ค.68'!G13+H13</f>
        <v>423352</v>
      </c>
      <c r="J13" s="8">
        <f t="shared" ref="J13:K13" si="11">(H13/D13)*100</f>
        <v>25.03315373</v>
      </c>
      <c r="K13" s="67">
        <f t="shared" si="11"/>
        <v>27.60356422</v>
      </c>
      <c r="L13" s="8"/>
      <c r="M13" s="8"/>
      <c r="N13" s="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>
      <c r="A14" s="64">
        <v>11.0</v>
      </c>
      <c r="B14" s="65" t="s">
        <v>37</v>
      </c>
      <c r="C14" s="71">
        <v>2087249.0</v>
      </c>
      <c r="D14" s="71">
        <v>1881047.0</v>
      </c>
      <c r="E14" s="1">
        <f>'ต.ค.68'!D14+D14</f>
        <v>3862498</v>
      </c>
      <c r="F14" s="71">
        <v>1625680.0</v>
      </c>
      <c r="G14" s="71">
        <v>86208.0</v>
      </c>
      <c r="H14" s="8">
        <f t="shared" si="2"/>
        <v>169159</v>
      </c>
      <c r="I14" s="1">
        <f>'ต.ค.68'!G14+H14</f>
        <v>487730</v>
      </c>
      <c r="J14" s="8">
        <f t="shared" ref="J14:K14" si="12">(H14/D14)*100</f>
        <v>8.992810919</v>
      </c>
      <c r="K14" s="67">
        <f t="shared" si="12"/>
        <v>12.62732045</v>
      </c>
      <c r="L14" s="8"/>
      <c r="M14" s="71" t="s">
        <v>80</v>
      </c>
      <c r="N14" s="72" t="s">
        <v>81</v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>
      <c r="A15" s="64">
        <v>12.0</v>
      </c>
      <c r="B15" s="65" t="s">
        <v>38</v>
      </c>
      <c r="C15" s="71">
        <v>3467137.0</v>
      </c>
      <c r="D15" s="71">
        <v>3397842.0</v>
      </c>
      <c r="E15" s="1">
        <f>'ต.ค.68'!D15+D15</f>
        <v>6640816</v>
      </c>
      <c r="F15" s="71">
        <v>2347266.0</v>
      </c>
      <c r="G15" s="71">
        <v>124508.0</v>
      </c>
      <c r="H15" s="8">
        <f t="shared" si="2"/>
        <v>926068</v>
      </c>
      <c r="I15" s="1">
        <f>'ต.ค.68'!G15+H15</f>
        <v>1774804</v>
      </c>
      <c r="J15" s="8">
        <f t="shared" ref="J15:K15" si="13">(H15/D15)*100</f>
        <v>27.25459277</v>
      </c>
      <c r="K15" s="67">
        <f t="shared" si="13"/>
        <v>26.72569154</v>
      </c>
      <c r="L15" s="8"/>
      <c r="M15" s="8"/>
      <c r="N15" s="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>
      <c r="A16" s="64">
        <v>13.0</v>
      </c>
      <c r="B16" s="65" t="s">
        <v>39</v>
      </c>
      <c r="C16" s="71">
        <v>1096965.0</v>
      </c>
      <c r="D16" s="71">
        <v>838937.0</v>
      </c>
      <c r="E16" s="1">
        <f>'ต.ค.68'!D16+D16</f>
        <v>1691386</v>
      </c>
      <c r="F16" s="71">
        <v>460127.0</v>
      </c>
      <c r="G16" s="71">
        <v>16226.0</v>
      </c>
      <c r="H16" s="8">
        <f t="shared" si="2"/>
        <v>362584</v>
      </c>
      <c r="I16" s="1">
        <f>'ต.ค.68'!G16+H16</f>
        <v>790585</v>
      </c>
      <c r="J16" s="8">
        <f t="shared" ref="J16:K16" si="14">(H16/D16)*100</f>
        <v>43.2194551</v>
      </c>
      <c r="K16" s="67">
        <f t="shared" si="14"/>
        <v>46.74184367</v>
      </c>
      <c r="L16" s="8"/>
      <c r="M16" s="71" t="s">
        <v>109</v>
      </c>
      <c r="N16" s="72" t="s">
        <v>110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>
      <c r="A17" s="64">
        <v>14.0</v>
      </c>
      <c r="B17" s="65" t="s">
        <v>40</v>
      </c>
      <c r="C17" s="71">
        <v>2255045.0</v>
      </c>
      <c r="D17" s="71">
        <v>1950269.0</v>
      </c>
      <c r="E17" s="1">
        <f>'ต.ค.68'!D17+D17</f>
        <v>3962948</v>
      </c>
      <c r="F17" s="71">
        <v>1288496.0</v>
      </c>
      <c r="G17" s="71">
        <v>46274.0</v>
      </c>
      <c r="H17" s="8">
        <f t="shared" si="2"/>
        <v>615499</v>
      </c>
      <c r="I17" s="1">
        <f>'ต.ค.68'!G17+H17</f>
        <v>1288005</v>
      </c>
      <c r="J17" s="8">
        <f t="shared" ref="J17:K17" si="15">(H17/D17)*100</f>
        <v>31.55969766</v>
      </c>
      <c r="K17" s="67">
        <f t="shared" si="15"/>
        <v>32.50118346</v>
      </c>
      <c r="L17" s="8"/>
      <c r="M17" s="61" t="s">
        <v>85</v>
      </c>
      <c r="N17" s="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>
      <c r="A18" s="64">
        <v>15.0</v>
      </c>
      <c r="B18" s="65" t="s">
        <v>41</v>
      </c>
      <c r="C18" s="71">
        <v>553507.24</v>
      </c>
      <c r="D18" s="71">
        <v>539349.0</v>
      </c>
      <c r="E18" s="1">
        <f>'ต.ค.68'!D18+D18</f>
        <v>1116006</v>
      </c>
      <c r="F18" s="71">
        <v>252676.0</v>
      </c>
      <c r="G18" s="71">
        <v>5465.17</v>
      </c>
      <c r="H18" s="8">
        <f t="shared" si="2"/>
        <v>281207.83</v>
      </c>
      <c r="I18" s="1">
        <f>'ต.ค.68'!G18+H18</f>
        <v>612494.14</v>
      </c>
      <c r="J18" s="8">
        <f t="shared" ref="J18:K18" si="16">(H18/D18)*100</f>
        <v>52.13837979</v>
      </c>
      <c r="K18" s="67">
        <f t="shared" si="16"/>
        <v>54.88269239</v>
      </c>
      <c r="L18" s="8"/>
      <c r="M18" s="71" t="s">
        <v>87</v>
      </c>
      <c r="N18" s="71">
        <v>9.26658041E8</v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>
      <c r="A19" s="64">
        <v>16.0</v>
      </c>
      <c r="B19" s="65" t="s">
        <v>42</v>
      </c>
      <c r="C19" s="71">
        <v>1341821.38</v>
      </c>
      <c r="D19" s="71">
        <v>1212576.0</v>
      </c>
      <c r="E19" s="1">
        <f>'ต.ค.68'!D19+D19</f>
        <v>2491745</v>
      </c>
      <c r="F19" s="71">
        <v>513946.0</v>
      </c>
      <c r="G19" s="71">
        <v>14055.0</v>
      </c>
      <c r="H19" s="8">
        <f t="shared" si="2"/>
        <v>684575</v>
      </c>
      <c r="I19" s="1">
        <f>'ต.ค.68'!G19+H19</f>
        <v>1472326</v>
      </c>
      <c r="J19" s="8">
        <f t="shared" ref="J19:K19" si="17">(H19/D19)*100</f>
        <v>56.45625511</v>
      </c>
      <c r="K19" s="67">
        <f t="shared" si="17"/>
        <v>59.08814907</v>
      </c>
      <c r="L19" s="8"/>
      <c r="M19" s="8"/>
      <c r="N19" s="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>
      <c r="A20" s="64">
        <v>17.0</v>
      </c>
      <c r="B20" s="65" t="s">
        <v>43</v>
      </c>
      <c r="C20" s="71">
        <v>191109.0</v>
      </c>
      <c r="D20" s="71">
        <v>157947.0</v>
      </c>
      <c r="E20" s="1">
        <f>'ต.ค.68'!D20+D20</f>
        <v>311363</v>
      </c>
      <c r="F20" s="71">
        <v>68926.0</v>
      </c>
      <c r="G20" s="71">
        <v>48650.0</v>
      </c>
      <c r="H20" s="8">
        <f t="shared" si="2"/>
        <v>40371</v>
      </c>
      <c r="I20" s="1">
        <f>'ต.ค.68'!G20+H20</f>
        <v>130309</v>
      </c>
      <c r="J20" s="8">
        <f t="shared" ref="J20:K20" si="18">(H20/D20)*100</f>
        <v>25.55983969</v>
      </c>
      <c r="K20" s="67">
        <f t="shared" si="18"/>
        <v>41.85115123</v>
      </c>
      <c r="L20" s="8"/>
      <c r="M20" s="8"/>
      <c r="N20" s="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>
      <c r="A21" s="64">
        <v>18.0</v>
      </c>
      <c r="B21" s="65" t="s">
        <v>44</v>
      </c>
      <c r="C21" s="71">
        <v>615687.3</v>
      </c>
      <c r="D21" s="71">
        <v>551473.3</v>
      </c>
      <c r="E21" s="1">
        <f>'ต.ค.68'!D21+D21</f>
        <v>1137795.17</v>
      </c>
      <c r="F21" s="71">
        <v>309338.0</v>
      </c>
      <c r="G21" s="71">
        <v>32151.0</v>
      </c>
      <c r="H21" s="8">
        <f t="shared" si="2"/>
        <v>209984.3</v>
      </c>
      <c r="I21" s="1">
        <f>'ต.ค.68'!G21+H21</f>
        <v>460940.17</v>
      </c>
      <c r="J21" s="8">
        <f t="shared" ref="J21:K21" si="19">(H21/D21)*100</f>
        <v>38.07696583</v>
      </c>
      <c r="K21" s="67">
        <f t="shared" si="19"/>
        <v>40.51170036</v>
      </c>
      <c r="L21" s="8"/>
      <c r="M21" s="71" t="s">
        <v>111</v>
      </c>
      <c r="N21" s="71">
        <v>6.29252914E8</v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>
      <c r="A22" s="64">
        <v>19.0</v>
      </c>
      <c r="B22" s="65" t="s">
        <v>45</v>
      </c>
      <c r="C22" s="71">
        <v>178777.0</v>
      </c>
      <c r="D22" s="71">
        <v>147923.0</v>
      </c>
      <c r="E22" s="1">
        <f>'ต.ค.68'!D22+D22</f>
        <v>302002</v>
      </c>
      <c r="F22" s="71">
        <v>110803.0</v>
      </c>
      <c r="G22" s="71">
        <v>9053.47</v>
      </c>
      <c r="H22" s="8">
        <f t="shared" si="2"/>
        <v>28066.53</v>
      </c>
      <c r="I22" s="1">
        <f>'ต.ค.68'!G22+H22</f>
        <v>66071.38</v>
      </c>
      <c r="J22" s="8">
        <f t="shared" ref="J22:K22" si="20">(H22/D22)*100</f>
        <v>18.9737431</v>
      </c>
      <c r="K22" s="67">
        <f t="shared" si="20"/>
        <v>21.87779551</v>
      </c>
      <c r="L22" s="8"/>
      <c r="M22" s="81" t="s">
        <v>94</v>
      </c>
      <c r="N22" s="82" t="s">
        <v>95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>
      <c r="A23" s="64">
        <v>20.0</v>
      </c>
      <c r="B23" s="65" t="s">
        <v>46</v>
      </c>
      <c r="C23" s="71">
        <v>662958.0</v>
      </c>
      <c r="D23" s="71">
        <v>592549.0</v>
      </c>
      <c r="E23" s="1">
        <f>'ต.ค.68'!D23+D23</f>
        <v>1227367</v>
      </c>
      <c r="F23" s="71">
        <v>346829.0</v>
      </c>
      <c r="G23" s="71">
        <v>8673.0</v>
      </c>
      <c r="H23" s="8">
        <f t="shared" si="2"/>
        <v>237047</v>
      </c>
      <c r="I23" s="1">
        <f>'ต.ค.68'!G23+H23</f>
        <v>487974</v>
      </c>
      <c r="J23" s="8">
        <f t="shared" ref="J23:K23" si="21">(H23/D23)*100</f>
        <v>40.00462409</v>
      </c>
      <c r="K23" s="67">
        <f t="shared" si="21"/>
        <v>39.75779046</v>
      </c>
      <c r="L23" s="8"/>
      <c r="M23" s="8"/>
      <c r="N23" s="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>
      <c r="A24" s="64">
        <v>21.0</v>
      </c>
      <c r="B24" s="65" t="s">
        <v>47</v>
      </c>
      <c r="C24" s="71">
        <v>1709778.0</v>
      </c>
      <c r="D24" s="71">
        <v>1615158.0</v>
      </c>
      <c r="E24" s="1">
        <f>'ต.ค.68'!D24+D24</f>
        <v>3262445</v>
      </c>
      <c r="F24" s="71">
        <v>801187.0</v>
      </c>
      <c r="G24" s="71">
        <v>16150.0</v>
      </c>
      <c r="H24" s="8">
        <f t="shared" si="2"/>
        <v>797821</v>
      </c>
      <c r="I24" s="1">
        <f>'ต.ค.68'!G24+H24</f>
        <v>1668633</v>
      </c>
      <c r="J24" s="8">
        <f t="shared" ref="J24:K24" si="22">(H24/D24)*100</f>
        <v>49.39584858</v>
      </c>
      <c r="K24" s="67">
        <f t="shared" si="22"/>
        <v>51.14670132</v>
      </c>
      <c r="L24" s="8"/>
      <c r="M24" s="8"/>
      <c r="N24" s="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>
      <c r="A25" s="64">
        <v>22.0</v>
      </c>
      <c r="B25" s="65" t="s">
        <v>48</v>
      </c>
      <c r="C25" s="71">
        <v>555292.0</v>
      </c>
      <c r="D25" s="71">
        <v>539684.0</v>
      </c>
      <c r="E25" s="1">
        <f>'ต.ค.68'!D25+D25</f>
        <v>1083239</v>
      </c>
      <c r="F25" s="71">
        <v>310412.0</v>
      </c>
      <c r="G25" s="71">
        <v>60000.0</v>
      </c>
      <c r="H25" s="8">
        <f t="shared" si="2"/>
        <v>169272</v>
      </c>
      <c r="I25" s="1">
        <f>'ต.ค.68'!G25+H25</f>
        <v>357414</v>
      </c>
      <c r="J25" s="8">
        <f t="shared" ref="J25:K25" si="23">(H25/D25)*100</f>
        <v>31.36502101</v>
      </c>
      <c r="K25" s="67">
        <f t="shared" si="23"/>
        <v>32.99493464</v>
      </c>
      <c r="L25" s="8"/>
      <c r="M25" s="71" t="s">
        <v>98</v>
      </c>
      <c r="N25" s="72" t="s">
        <v>99</v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>
      <c r="A26" s="83">
        <v>23.0</v>
      </c>
      <c r="B26" s="84" t="s">
        <v>100</v>
      </c>
      <c r="C26" s="18">
        <f>SUM(C4:C25)</f>
        <v>43019656.72</v>
      </c>
      <c r="D26" s="18">
        <f>sum(D4:D25)</f>
        <v>40370524.09</v>
      </c>
      <c r="E26" s="85">
        <f>'ต.ค.68'!D26+D26</f>
        <v>81208282.94</v>
      </c>
      <c r="F26" s="18">
        <f t="shared" ref="F26:H26" si="24">sum(F4:F25)</f>
        <v>27970745</v>
      </c>
      <c r="G26" s="18">
        <f t="shared" si="24"/>
        <v>1562959.65</v>
      </c>
      <c r="H26" s="18">
        <f t="shared" si="24"/>
        <v>10836819.44</v>
      </c>
      <c r="I26" s="85">
        <f>'ต.ค.68'!G26+H26</f>
        <v>22968745.94</v>
      </c>
      <c r="J26" s="18">
        <f t="shared" ref="J26:K26" si="25">(H26/D26)*100</f>
        <v>26.84339548</v>
      </c>
      <c r="K26" s="18">
        <f t="shared" si="25"/>
        <v>28.2837478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1:G1000">
    <cfRule type="cellIs" dxfId="1" priority="1" operator="greaterThan">
      <formula>100000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" width="4.44"/>
    <col customWidth="1" min="3" max="3" width="15.44"/>
    <col customWidth="1" min="4" max="4" width="19.22"/>
    <col customWidth="1" min="5" max="5" width="24.33"/>
    <col customWidth="1" min="6" max="6" width="15.33"/>
    <col customWidth="1" min="7" max="8" width="17.67"/>
    <col customWidth="1" min="9" max="9" width="20.22"/>
    <col customWidth="1" min="11" max="11" width="15.44"/>
    <col customWidth="1" min="12" max="12" width="25.44"/>
    <col customWidth="1" min="13" max="13" width="23.11"/>
    <col customWidth="1" min="14" max="14" width="16.0"/>
  </cols>
  <sheetData>
    <row r="1" ht="27.75" customHeight="1">
      <c r="A1" s="57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>
      <c r="A2" s="59" t="s">
        <v>52</v>
      </c>
      <c r="B2" s="59" t="s">
        <v>53</v>
      </c>
      <c r="C2" s="60" t="s">
        <v>54</v>
      </c>
      <c r="D2" s="60" t="s">
        <v>55</v>
      </c>
      <c r="E2" s="61" t="s">
        <v>102</v>
      </c>
      <c r="F2" s="60" t="s">
        <v>56</v>
      </c>
      <c r="G2" s="60" t="s">
        <v>57</v>
      </c>
      <c r="H2" s="62" t="s">
        <v>58</v>
      </c>
      <c r="I2" s="4"/>
      <c r="J2" s="4"/>
      <c r="K2" s="5"/>
      <c r="L2" s="63" t="s">
        <v>59</v>
      </c>
      <c r="M2" s="63" t="s">
        <v>60</v>
      </c>
      <c r="N2" s="63" t="s">
        <v>61</v>
      </c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>
      <c r="A3" s="34"/>
      <c r="B3" s="34"/>
      <c r="C3" s="60" t="s">
        <v>62</v>
      </c>
      <c r="D3" s="60" t="s">
        <v>62</v>
      </c>
      <c r="E3" s="60" t="s">
        <v>62</v>
      </c>
      <c r="F3" s="60" t="s">
        <v>62</v>
      </c>
      <c r="G3" s="60" t="s">
        <v>62</v>
      </c>
      <c r="H3" s="60" t="s">
        <v>63</v>
      </c>
      <c r="I3" s="61" t="s">
        <v>103</v>
      </c>
      <c r="J3" s="60" t="s">
        <v>64</v>
      </c>
      <c r="K3" s="61" t="s">
        <v>104</v>
      </c>
      <c r="L3" s="34"/>
      <c r="M3" s="34"/>
      <c r="N3" s="34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>
      <c r="A4" s="64">
        <f t="array" ref="A4:A25">SEQUENCE(22,1)</f>
        <v>1</v>
      </c>
      <c r="B4" s="65" t="s">
        <v>27</v>
      </c>
      <c r="C4" s="69">
        <v>4387421.25</v>
      </c>
      <c r="D4" s="70">
        <v>5275087.5</v>
      </c>
      <c r="E4" s="1">
        <f>'พ.ย. 68'!E4+D4</f>
        <v>15345182</v>
      </c>
      <c r="F4" s="70">
        <v>4075759.0</v>
      </c>
      <c r="G4" s="70">
        <v>126353.68</v>
      </c>
      <c r="H4" s="1">
        <f t="shared" ref="H4:H25" si="2">D4-F4-G4</f>
        <v>1072974.82</v>
      </c>
      <c r="I4" s="1">
        <f>'พ.ย. 68'!I4+H4</f>
        <v>3288245.72</v>
      </c>
      <c r="J4" s="1">
        <f t="shared" ref="J4:K4" si="1">(H4/D4)*100</f>
        <v>20.34041748</v>
      </c>
      <c r="K4" s="67">
        <f t="shared" si="1"/>
        <v>21.42852213</v>
      </c>
      <c r="L4" s="8"/>
      <c r="M4" s="68" t="s">
        <v>65</v>
      </c>
      <c r="N4" s="68" t="s">
        <v>66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>
      <c r="A5" s="64">
        <v>2.0</v>
      </c>
      <c r="B5" s="65" t="s">
        <v>28</v>
      </c>
      <c r="C5" s="69">
        <v>7409047.0</v>
      </c>
      <c r="D5" s="70">
        <v>6463930.04</v>
      </c>
      <c r="E5" s="1">
        <f>'พ.ย. 68'!E5+D5</f>
        <v>19044093.34</v>
      </c>
      <c r="F5" s="70">
        <v>4699231.0</v>
      </c>
      <c r="G5" s="70">
        <v>320237.38</v>
      </c>
      <c r="H5" s="8">
        <f t="shared" si="2"/>
        <v>1444461.66</v>
      </c>
      <c r="I5" s="1">
        <f>'พ.ย. 68'!I5+H5</f>
        <v>4178554.83</v>
      </c>
      <c r="J5" s="8">
        <f t="shared" ref="J5:K5" si="3">(H5/D5)*100</f>
        <v>22.34649278</v>
      </c>
      <c r="K5" s="67">
        <f t="shared" si="3"/>
        <v>21.94147422</v>
      </c>
      <c r="L5" s="8"/>
      <c r="M5" s="72" t="s">
        <v>67</v>
      </c>
      <c r="N5" s="72" t="s">
        <v>105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>
      <c r="A6" s="64">
        <v>3.0</v>
      </c>
      <c r="B6" s="65" t="s">
        <v>29</v>
      </c>
      <c r="C6" s="71">
        <v>2262929.73</v>
      </c>
      <c r="D6" s="71">
        <v>2144191.5</v>
      </c>
      <c r="E6" s="1">
        <f>'พ.ย. 68'!E6+D6</f>
        <v>6152731.5</v>
      </c>
      <c r="F6" s="71">
        <v>1309243.0</v>
      </c>
      <c r="G6" s="71">
        <v>81241.6</v>
      </c>
      <c r="H6" s="8">
        <f t="shared" si="2"/>
        <v>753706.9</v>
      </c>
      <c r="I6" s="1">
        <f>'พ.ย. 68'!I6+H6</f>
        <v>2009403.56</v>
      </c>
      <c r="J6" s="8">
        <f t="shared" ref="J6:K6" si="4">(H6/D6)*100</f>
        <v>35.15110008</v>
      </c>
      <c r="K6" s="67">
        <f t="shared" si="4"/>
        <v>32.65872337</v>
      </c>
      <c r="L6" s="8"/>
      <c r="M6" s="68"/>
      <c r="N6" s="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>
      <c r="A7" s="64">
        <v>4.0</v>
      </c>
      <c r="B7" s="65" t="s">
        <v>30</v>
      </c>
      <c r="C7" s="71">
        <v>3177550.0</v>
      </c>
      <c r="D7" s="71">
        <v>2323195.0</v>
      </c>
      <c r="E7" s="1">
        <f>'พ.ย. 68'!E7+D7</f>
        <v>7048186</v>
      </c>
      <c r="F7" s="71">
        <v>1711020.0</v>
      </c>
      <c r="G7" s="71">
        <v>53809.0</v>
      </c>
      <c r="H7" s="8">
        <f t="shared" si="2"/>
        <v>558366</v>
      </c>
      <c r="I7" s="1">
        <f>'พ.ย. 68'!I7+H7</f>
        <v>1709176.32</v>
      </c>
      <c r="J7" s="8">
        <f t="shared" ref="J7:K7" si="5">(H7/D7)*100</f>
        <v>24.0344009</v>
      </c>
      <c r="K7" s="67">
        <f t="shared" si="5"/>
        <v>24.24987536</v>
      </c>
      <c r="L7" s="8"/>
      <c r="M7" s="72" t="s">
        <v>69</v>
      </c>
      <c r="N7" s="72" t="s">
        <v>70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>
      <c r="A8" s="64">
        <v>5.0</v>
      </c>
      <c r="B8" s="65" t="s">
        <v>31</v>
      </c>
      <c r="C8" s="71">
        <v>2620626.0</v>
      </c>
      <c r="D8" s="86">
        <v>2807298.67</v>
      </c>
      <c r="E8" s="1">
        <f>'พ.ย. 68'!E8+D8</f>
        <v>8095410.64</v>
      </c>
      <c r="F8" s="87">
        <v>1534886.0</v>
      </c>
      <c r="G8" s="71">
        <v>215000.0</v>
      </c>
      <c r="H8" s="8">
        <f t="shared" si="2"/>
        <v>1057412.67</v>
      </c>
      <c r="I8" s="1">
        <f>'พ.ย. 68'!I8+H8</f>
        <v>2919861.64</v>
      </c>
      <c r="J8" s="8">
        <f t="shared" ref="J8:K8" si="6">(H8/D8)*100</f>
        <v>37.66655402</v>
      </c>
      <c r="K8" s="67">
        <f t="shared" si="6"/>
        <v>36.06811031</v>
      </c>
      <c r="L8" s="8"/>
      <c r="M8" s="72" t="s">
        <v>71</v>
      </c>
      <c r="N8" s="72" t="s">
        <v>112</v>
      </c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>
      <c r="A9" s="64">
        <v>6.0</v>
      </c>
      <c r="B9" s="65" t="s">
        <v>32</v>
      </c>
      <c r="C9" s="73">
        <v>2918760.0</v>
      </c>
      <c r="D9" s="73">
        <v>2880735.0</v>
      </c>
      <c r="E9" s="1">
        <f>'พ.ย. 68'!E9+D9</f>
        <v>8501497</v>
      </c>
      <c r="F9" s="73">
        <v>1990782.0</v>
      </c>
      <c r="G9" s="73">
        <v>63598.0</v>
      </c>
      <c r="H9" s="8">
        <f t="shared" si="2"/>
        <v>826355</v>
      </c>
      <c r="I9" s="1">
        <f>'พ.ย. 68'!I9+H9</f>
        <v>2273826</v>
      </c>
      <c r="J9" s="8">
        <f t="shared" ref="J9:K9" si="7">(H9/D9)*100</f>
        <v>28.68556115</v>
      </c>
      <c r="K9" s="67">
        <f t="shared" si="7"/>
        <v>26.74618364</v>
      </c>
      <c r="L9" s="8"/>
      <c r="M9" s="72" t="s">
        <v>72</v>
      </c>
      <c r="N9" s="72" t="s">
        <v>73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>
      <c r="A10" s="75">
        <v>7.0</v>
      </c>
      <c r="B10" s="76" t="s">
        <v>33</v>
      </c>
      <c r="C10" s="77">
        <v>1081108.3</v>
      </c>
      <c r="D10" s="77">
        <v>1071268.0</v>
      </c>
      <c r="E10" s="1">
        <f>'พ.ย. 68'!E10+D10</f>
        <v>3152294</v>
      </c>
      <c r="F10" s="77">
        <f>951200+349</f>
        <v>951549</v>
      </c>
      <c r="G10" s="77">
        <v>49525.0</v>
      </c>
      <c r="H10" s="16">
        <f t="shared" si="2"/>
        <v>70194</v>
      </c>
      <c r="I10" s="1">
        <f>'พ.ย. 68'!I10+H10</f>
        <v>294827.55</v>
      </c>
      <c r="J10" s="16">
        <f t="shared" ref="J10:K10" si="8">(H10/D10)*100</f>
        <v>6.55242199</v>
      </c>
      <c r="K10" s="67">
        <f t="shared" si="8"/>
        <v>9.352793553</v>
      </c>
      <c r="L10" s="16"/>
      <c r="M10" s="79" t="s">
        <v>74</v>
      </c>
      <c r="N10" s="79" t="s">
        <v>107</v>
      </c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>
      <c r="A11" s="64">
        <v>8.0</v>
      </c>
      <c r="B11" s="65" t="s">
        <v>34</v>
      </c>
      <c r="C11" s="71">
        <v>1378190.0</v>
      </c>
      <c r="D11" s="71">
        <v>1367912.0</v>
      </c>
      <c r="E11" s="1">
        <f>'พ.ย. 68'!E11+D11</f>
        <v>4037365</v>
      </c>
      <c r="F11" s="71">
        <v>1148946.0</v>
      </c>
      <c r="G11" s="71">
        <v>43239.85</v>
      </c>
      <c r="H11" s="8">
        <f t="shared" si="2"/>
        <v>175726.15</v>
      </c>
      <c r="I11" s="1">
        <f>'พ.ย. 68'!I11+H11</f>
        <v>484168.83</v>
      </c>
      <c r="J11" s="8">
        <f t="shared" ref="J11:K11" si="9">(H11/D11)*100</f>
        <v>12.84630517</v>
      </c>
      <c r="K11" s="67">
        <f t="shared" si="9"/>
        <v>11.99219862</v>
      </c>
      <c r="L11" s="8"/>
      <c r="M11" s="72" t="s">
        <v>76</v>
      </c>
      <c r="N11" s="72" t="s">
        <v>108</v>
      </c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>
      <c r="A12" s="64">
        <v>9.0</v>
      </c>
      <c r="B12" s="65" t="s">
        <v>35</v>
      </c>
      <c r="C12" s="71">
        <v>3215311.0</v>
      </c>
      <c r="D12" s="71">
        <v>2858526.0</v>
      </c>
      <c r="E12" s="1">
        <f>'พ.ย. 68'!E12+D12</f>
        <v>8400371</v>
      </c>
      <c r="F12" s="71">
        <v>1788793.0</v>
      </c>
      <c r="G12" s="71">
        <v>198800.0</v>
      </c>
      <c r="H12" s="8">
        <f t="shared" si="2"/>
        <v>870933</v>
      </c>
      <c r="I12" s="1">
        <f>'พ.ย. 68'!I12+H12</f>
        <v>2620174</v>
      </c>
      <c r="J12" s="8">
        <f t="shared" ref="J12:K12" si="10">(H12/D12)*100</f>
        <v>30.46790549</v>
      </c>
      <c r="K12" s="67">
        <f t="shared" si="10"/>
        <v>31.19117001</v>
      </c>
      <c r="L12" s="8"/>
      <c r="M12" s="72" t="s">
        <v>78</v>
      </c>
      <c r="N12" s="80" t="s">
        <v>79</v>
      </c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>
      <c r="A13" s="64">
        <v>10.0</v>
      </c>
      <c r="B13" s="65" t="s">
        <v>36</v>
      </c>
      <c r="C13" s="71">
        <v>1054251.3</v>
      </c>
      <c r="D13" s="71">
        <v>897097.0</v>
      </c>
      <c r="E13" s="1">
        <f>'พ.ย. 68'!E13+D13</f>
        <v>2430783</v>
      </c>
      <c r="F13" s="71">
        <v>554946.0</v>
      </c>
      <c r="G13" s="71">
        <v>78674.2</v>
      </c>
      <c r="H13" s="8">
        <f t="shared" si="2"/>
        <v>263476.8</v>
      </c>
      <c r="I13" s="1">
        <f>'พ.ย. 68'!I13+H13</f>
        <v>686828.8</v>
      </c>
      <c r="J13" s="8">
        <f t="shared" ref="J13:K13" si="11">(H13/D13)*100</f>
        <v>29.36993435</v>
      </c>
      <c r="K13" s="67">
        <f t="shared" si="11"/>
        <v>28.25545514</v>
      </c>
      <c r="L13" s="8"/>
      <c r="M13" s="68"/>
      <c r="N13" s="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>
      <c r="A14" s="64">
        <v>11.0</v>
      </c>
      <c r="B14" s="65" t="s">
        <v>37</v>
      </c>
      <c r="C14" s="71">
        <v>2162587.0</v>
      </c>
      <c r="D14" s="71">
        <v>1968890.0</v>
      </c>
      <c r="E14" s="1">
        <f>'พ.ย. 68'!E14+D14</f>
        <v>5831388</v>
      </c>
      <c r="F14" s="71">
        <v>1605048.0</v>
      </c>
      <c r="G14" s="71">
        <v>86211.0</v>
      </c>
      <c r="H14" s="8">
        <f t="shared" si="2"/>
        <v>277631</v>
      </c>
      <c r="I14" s="1">
        <f>'พ.ย. 68'!I14+H14</f>
        <v>765361</v>
      </c>
      <c r="J14" s="8">
        <f t="shared" ref="J14:K14" si="12">(H14/D14)*100</f>
        <v>14.10088933</v>
      </c>
      <c r="K14" s="67">
        <f t="shared" si="12"/>
        <v>13.12485124</v>
      </c>
      <c r="L14" s="8"/>
      <c r="M14" s="72" t="s">
        <v>80</v>
      </c>
      <c r="N14" s="72" t="s">
        <v>81</v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>
      <c r="A15" s="64">
        <v>12.0</v>
      </c>
      <c r="B15" s="65" t="s">
        <v>38</v>
      </c>
      <c r="C15" s="71">
        <v>3657519.0</v>
      </c>
      <c r="D15" s="71">
        <v>3451851.0</v>
      </c>
      <c r="E15" s="1">
        <f>'พ.ย. 68'!E15+D15</f>
        <v>10092667</v>
      </c>
      <c r="F15" s="71">
        <v>2348722.0</v>
      </c>
      <c r="G15" s="71">
        <v>126329.0</v>
      </c>
      <c r="H15" s="8">
        <f t="shared" si="2"/>
        <v>976800</v>
      </c>
      <c r="I15" s="1">
        <f>'พ.ย. 68'!I15+H15</f>
        <v>2751604</v>
      </c>
      <c r="J15" s="8">
        <f t="shared" ref="J15:K15" si="13">(H15/D15)*100</f>
        <v>28.29786106</v>
      </c>
      <c r="K15" s="67">
        <f t="shared" si="13"/>
        <v>27.26339827</v>
      </c>
      <c r="L15" s="8"/>
      <c r="M15" s="68"/>
      <c r="N15" s="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>
      <c r="A16" s="64">
        <v>13.0</v>
      </c>
      <c r="B16" s="65" t="s">
        <v>39</v>
      </c>
      <c r="C16" s="71">
        <v>1121588.0</v>
      </c>
      <c r="D16" s="71">
        <v>859679.0</v>
      </c>
      <c r="E16" s="1">
        <f>'พ.ย. 68'!E16+D16</f>
        <v>2551065</v>
      </c>
      <c r="F16" s="71">
        <v>520776.0</v>
      </c>
      <c r="G16" s="71">
        <v>18742.0</v>
      </c>
      <c r="H16" s="8">
        <f t="shared" si="2"/>
        <v>320161</v>
      </c>
      <c r="I16" s="1">
        <f>'พ.ย. 68'!I16+H16</f>
        <v>1110746</v>
      </c>
      <c r="J16" s="8">
        <f t="shared" ref="J16:K16" si="14">(H16/D16)*100</f>
        <v>37.24192402</v>
      </c>
      <c r="K16" s="67">
        <f t="shared" si="14"/>
        <v>43.54048211</v>
      </c>
      <c r="L16" s="8"/>
      <c r="M16" s="72" t="s">
        <v>109</v>
      </c>
      <c r="N16" s="72" t="s">
        <v>110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>
      <c r="A17" s="64">
        <v>14.0</v>
      </c>
      <c r="B17" s="65" t="s">
        <v>40</v>
      </c>
      <c r="C17" s="71">
        <v>2258036.0</v>
      </c>
      <c r="D17" s="71">
        <v>2027019.11</v>
      </c>
      <c r="E17" s="1">
        <f>'พ.ย. 68'!E17+D17</f>
        <v>5989967.11</v>
      </c>
      <c r="F17" s="71">
        <v>1317325.0</v>
      </c>
      <c r="G17" s="71">
        <v>52178.0</v>
      </c>
      <c r="H17" s="8">
        <f t="shared" si="2"/>
        <v>657516.11</v>
      </c>
      <c r="I17" s="1">
        <f>'พ.ย. 68'!I17+H17</f>
        <v>1945521.11</v>
      </c>
      <c r="J17" s="8">
        <f t="shared" ref="J17:K17" si="15">(H17/D17)*100</f>
        <v>32.43758812</v>
      </c>
      <c r="K17" s="67">
        <f t="shared" si="15"/>
        <v>32.47966265</v>
      </c>
      <c r="L17" s="8"/>
      <c r="M17" s="72" t="s">
        <v>85</v>
      </c>
      <c r="N17" s="88" t="s">
        <v>113</v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>
      <c r="A18" s="64">
        <v>15.0</v>
      </c>
      <c r="B18" s="65" t="s">
        <v>41</v>
      </c>
      <c r="C18" s="89">
        <v>599869.53</v>
      </c>
      <c r="D18" s="89">
        <v>576495.0</v>
      </c>
      <c r="E18" s="1">
        <f>'พ.ย. 68'!E18+D18</f>
        <v>1692501</v>
      </c>
      <c r="F18" s="89">
        <v>245566.0</v>
      </c>
      <c r="G18" s="89">
        <v>11940.34</v>
      </c>
      <c r="H18" s="8">
        <f t="shared" si="2"/>
        <v>318988.66</v>
      </c>
      <c r="I18" s="1">
        <f>'พ.ย. 68'!I18+H18</f>
        <v>931482.8</v>
      </c>
      <c r="J18" s="8">
        <f t="shared" ref="J18:K18" si="16">(H18/D18)*100</f>
        <v>55.33242439</v>
      </c>
      <c r="K18" s="67">
        <f t="shared" si="16"/>
        <v>55.03587886</v>
      </c>
      <c r="L18" s="8"/>
      <c r="M18" s="72" t="s">
        <v>87</v>
      </c>
      <c r="N18" s="71">
        <v>9.26658041E8</v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>
      <c r="A19" s="64">
        <v>16.0</v>
      </c>
      <c r="B19" s="65" t="s">
        <v>42</v>
      </c>
      <c r="C19" s="71">
        <v>1684251.38</v>
      </c>
      <c r="D19" s="71">
        <v>1310248.47</v>
      </c>
      <c r="E19" s="1">
        <f>'พ.ย. 68'!E19+D19</f>
        <v>3801993.47</v>
      </c>
      <c r="F19" s="71">
        <v>501822.0</v>
      </c>
      <c r="G19" s="71">
        <v>767.0</v>
      </c>
      <c r="H19" s="8">
        <f t="shared" si="2"/>
        <v>807659.47</v>
      </c>
      <c r="I19" s="1">
        <f>'พ.ย. 68'!I19+H19</f>
        <v>2279985.47</v>
      </c>
      <c r="J19" s="8">
        <f t="shared" ref="J19:K19" si="17">(H19/D19)*100</f>
        <v>61.64170297</v>
      </c>
      <c r="K19" s="67">
        <f t="shared" si="17"/>
        <v>59.96815849</v>
      </c>
      <c r="L19" s="8"/>
      <c r="M19" s="72" t="s">
        <v>114</v>
      </c>
      <c r="N19" s="90">
        <v>9.70059909E8</v>
      </c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>
      <c r="A20" s="64">
        <v>17.0</v>
      </c>
      <c r="B20" s="65" t="s">
        <v>43</v>
      </c>
      <c r="C20" s="71">
        <v>185522.0</v>
      </c>
      <c r="D20" s="71">
        <v>157947.0</v>
      </c>
      <c r="E20" s="1">
        <f>'พ.ย. 68'!E20+D20</f>
        <v>469310</v>
      </c>
      <c r="F20" s="71">
        <v>70145.0</v>
      </c>
      <c r="G20" s="71">
        <v>1833.84</v>
      </c>
      <c r="H20" s="8">
        <f t="shared" si="2"/>
        <v>85968.16</v>
      </c>
      <c r="I20" s="1">
        <f>'พ.ย. 68'!I20+H20</f>
        <v>216277.16</v>
      </c>
      <c r="J20" s="8">
        <f t="shared" ref="J20:K20" si="18">(H20/D20)*100</f>
        <v>54.4284855</v>
      </c>
      <c r="K20" s="67">
        <f t="shared" si="18"/>
        <v>46.08407236</v>
      </c>
      <c r="L20" s="8"/>
      <c r="M20" s="72" t="s">
        <v>115</v>
      </c>
      <c r="N20" s="71" t="s">
        <v>116</v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>
      <c r="A21" s="64">
        <v>18.0</v>
      </c>
      <c r="B21" s="65" t="s">
        <v>44</v>
      </c>
      <c r="C21" s="71">
        <v>693576.4</v>
      </c>
      <c r="D21" s="71">
        <v>605800.4</v>
      </c>
      <c r="E21" s="1">
        <f>'พ.ย. 68'!E21+D21</f>
        <v>1743595.57</v>
      </c>
      <c r="F21" s="71">
        <v>298685.0</v>
      </c>
      <c r="G21" s="71">
        <v>42519.0</v>
      </c>
      <c r="H21" s="8">
        <f t="shared" si="2"/>
        <v>264596.4</v>
      </c>
      <c r="I21" s="1">
        <f>'พ.ย. 68'!I21+H21</f>
        <v>725536.57</v>
      </c>
      <c r="J21" s="8">
        <f t="shared" ref="J21:K21" si="19">(H21/D21)*100</f>
        <v>43.67715835</v>
      </c>
      <c r="K21" s="67">
        <f t="shared" si="19"/>
        <v>41.61151717</v>
      </c>
      <c r="L21" s="8"/>
      <c r="M21" s="72" t="s">
        <v>111</v>
      </c>
      <c r="N21" s="71" t="s">
        <v>117</v>
      </c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>
      <c r="A22" s="64">
        <v>19.0</v>
      </c>
      <c r="B22" s="65" t="s">
        <v>45</v>
      </c>
      <c r="C22" s="71">
        <v>185306.0</v>
      </c>
      <c r="D22" s="71">
        <v>155946.0</v>
      </c>
      <c r="E22" s="1">
        <f>'พ.ย. 68'!E22+D22</f>
        <v>457948</v>
      </c>
      <c r="F22" s="71">
        <v>109501.0</v>
      </c>
      <c r="G22" s="71">
        <v>10311.61</v>
      </c>
      <c r="H22" s="8">
        <f t="shared" si="2"/>
        <v>36133.39</v>
      </c>
      <c r="I22" s="1">
        <f>'พ.ย. 68'!I22+H22</f>
        <v>102204.77</v>
      </c>
      <c r="J22" s="8">
        <f t="shared" ref="J22:K22" si="20">(H22/D22)*100</f>
        <v>23.17045003</v>
      </c>
      <c r="K22" s="67">
        <f t="shared" si="20"/>
        <v>22.31798588</v>
      </c>
      <c r="L22" s="8"/>
      <c r="M22" s="82" t="s">
        <v>94</v>
      </c>
      <c r="N22" s="82" t="s">
        <v>95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>
      <c r="A23" s="64">
        <v>20.0</v>
      </c>
      <c r="B23" s="65" t="s">
        <v>46</v>
      </c>
      <c r="C23" s="71">
        <v>629762.0</v>
      </c>
      <c r="D23" s="71">
        <v>510939.0</v>
      </c>
      <c r="E23" s="1">
        <f>'พ.ย. 68'!E23+D23</f>
        <v>1738306</v>
      </c>
      <c r="F23" s="71">
        <v>282003.0</v>
      </c>
      <c r="G23" s="71">
        <v>8453.0</v>
      </c>
      <c r="H23" s="8">
        <f t="shared" si="2"/>
        <v>220483</v>
      </c>
      <c r="I23" s="1">
        <f>'พ.ย. 68'!I23+H23</f>
        <v>708457</v>
      </c>
      <c r="J23" s="8">
        <f t="shared" ref="J23:K23" si="21">(H23/D23)*100</f>
        <v>43.1525094</v>
      </c>
      <c r="K23" s="67">
        <f t="shared" si="21"/>
        <v>40.75559769</v>
      </c>
      <c r="L23" s="8"/>
      <c r="M23" s="72"/>
      <c r="N23" s="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>
      <c r="A24" s="64">
        <v>21.0</v>
      </c>
      <c r="B24" s="65" t="s">
        <v>47</v>
      </c>
      <c r="C24" s="71">
        <v>1765582.0</v>
      </c>
      <c r="D24" s="71">
        <v>1561747.0</v>
      </c>
      <c r="E24" s="1">
        <f>'พ.ย. 68'!E24+D24</f>
        <v>4824192</v>
      </c>
      <c r="F24" s="71">
        <v>800856.0</v>
      </c>
      <c r="G24" s="71">
        <v>16650.0</v>
      </c>
      <c r="H24" s="8">
        <f t="shared" si="2"/>
        <v>744241</v>
      </c>
      <c r="I24" s="1">
        <f>'พ.ย. 68'!I24+H24</f>
        <v>2412874</v>
      </c>
      <c r="J24" s="8">
        <f t="shared" ref="J24:K24" si="22">(H24/D24)*100</f>
        <v>47.6543896</v>
      </c>
      <c r="K24" s="67">
        <f t="shared" si="22"/>
        <v>50.01612705</v>
      </c>
      <c r="L24" s="8"/>
      <c r="M24" s="72" t="s">
        <v>118</v>
      </c>
      <c r="N24" s="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>
      <c r="A25" s="64">
        <v>22.0</v>
      </c>
      <c r="B25" s="65" t="s">
        <v>48</v>
      </c>
      <c r="C25" s="71">
        <v>571025.0</v>
      </c>
      <c r="D25" s="71">
        <v>565536.0</v>
      </c>
      <c r="E25" s="1">
        <f>'พ.ย. 68'!E25+D25</f>
        <v>1648775</v>
      </c>
      <c r="F25" s="71">
        <v>311616.0</v>
      </c>
      <c r="G25" s="71">
        <v>68000.0</v>
      </c>
      <c r="H25" s="8">
        <f t="shared" si="2"/>
        <v>185920</v>
      </c>
      <c r="I25" s="1">
        <f>'พ.ย. 68'!I25+H25</f>
        <v>543334</v>
      </c>
      <c r="J25" s="8">
        <f t="shared" ref="J25:K25" si="23">(H25/D25)*100</f>
        <v>32.87500707</v>
      </c>
      <c r="K25" s="67">
        <f t="shared" si="23"/>
        <v>32.95379903</v>
      </c>
      <c r="L25" s="8"/>
      <c r="M25" s="72" t="s">
        <v>98</v>
      </c>
      <c r="N25" s="72" t="s">
        <v>99</v>
      </c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>
      <c r="A26" s="83">
        <v>23.0</v>
      </c>
      <c r="B26" s="84" t="s">
        <v>100</v>
      </c>
      <c r="C26" s="18">
        <f>SUM(C4:C25)</f>
        <v>45019818.89</v>
      </c>
      <c r="D26" s="18">
        <f>sum(D4:D25)</f>
        <v>41841338.69</v>
      </c>
      <c r="E26" s="85">
        <f>SUM(E4:E25)</f>
        <v>123049621.6</v>
      </c>
      <c r="F26" s="18">
        <f t="shared" ref="F26:H26" si="24">sum(F4:F25)</f>
        <v>28177220</v>
      </c>
      <c r="G26" s="18">
        <f t="shared" si="24"/>
        <v>1674413.5</v>
      </c>
      <c r="H26" s="18">
        <f t="shared" si="24"/>
        <v>11989705.19</v>
      </c>
      <c r="I26" s="85">
        <f>'พ.ย. 68'!I26+H26</f>
        <v>34958451.13</v>
      </c>
      <c r="J26" s="18">
        <f t="shared" ref="J26:K26" si="25">(H26/D26)*100</f>
        <v>28.65516631</v>
      </c>
      <c r="K26" s="18">
        <f t="shared" si="25"/>
        <v>28.41004358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91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2:G1000">
    <cfRule type="cellIs" dxfId="1" priority="1" operator="greaterThan">
      <formula>100000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" width="4.44"/>
    <col customWidth="1" min="3" max="3" width="15.44"/>
    <col customWidth="1" min="4" max="4" width="19.22"/>
    <col customWidth="1" min="5" max="5" width="24.33"/>
    <col customWidth="1" min="6" max="6" width="15.33"/>
    <col customWidth="1" min="7" max="8" width="17.67"/>
    <col customWidth="1" min="9" max="9" width="20.22"/>
    <col customWidth="1" min="11" max="11" width="15.44"/>
    <col customWidth="1" min="12" max="12" width="25.44"/>
    <col customWidth="1" min="13" max="13" width="23.11"/>
    <col customWidth="1" min="14" max="14" width="16.0"/>
  </cols>
  <sheetData>
    <row r="1" ht="27.75" customHeight="1">
      <c r="A1" s="57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>
      <c r="A2" s="59" t="s">
        <v>52</v>
      </c>
      <c r="B2" s="59" t="s">
        <v>53</v>
      </c>
      <c r="C2" s="60" t="s">
        <v>54</v>
      </c>
      <c r="D2" s="60" t="s">
        <v>55</v>
      </c>
      <c r="E2" s="61" t="s">
        <v>102</v>
      </c>
      <c r="F2" s="60" t="s">
        <v>56</v>
      </c>
      <c r="G2" s="60" t="s">
        <v>57</v>
      </c>
      <c r="H2" s="62" t="s">
        <v>58</v>
      </c>
      <c r="I2" s="4"/>
      <c r="J2" s="4"/>
      <c r="K2" s="5"/>
      <c r="L2" s="63" t="s">
        <v>59</v>
      </c>
      <c r="M2" s="63" t="s">
        <v>60</v>
      </c>
      <c r="N2" s="63" t="s">
        <v>61</v>
      </c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>
      <c r="A3" s="34"/>
      <c r="B3" s="34"/>
      <c r="C3" s="60" t="s">
        <v>62</v>
      </c>
      <c r="D3" s="60" t="s">
        <v>62</v>
      </c>
      <c r="E3" s="60" t="s">
        <v>62</v>
      </c>
      <c r="F3" s="60" t="s">
        <v>62</v>
      </c>
      <c r="G3" s="60" t="s">
        <v>62</v>
      </c>
      <c r="H3" s="60" t="s">
        <v>63</v>
      </c>
      <c r="I3" s="61" t="s">
        <v>103</v>
      </c>
      <c r="J3" s="60" t="s">
        <v>64</v>
      </c>
      <c r="K3" s="61" t="s">
        <v>104</v>
      </c>
      <c r="L3" s="34"/>
      <c r="M3" s="34"/>
      <c r="N3" s="34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>
      <c r="A4" s="64">
        <f t="array" ref="A4:A25">SEQUENCE(22,1)</f>
        <v>1</v>
      </c>
      <c r="B4" s="65" t="s">
        <v>27</v>
      </c>
      <c r="C4" s="69">
        <v>4445468.0</v>
      </c>
      <c r="D4" s="70">
        <v>5374762.5</v>
      </c>
      <c r="E4" s="1">
        <f>'ธ.ค. 68'!E4+D4</f>
        <v>20719944.5</v>
      </c>
      <c r="F4" s="70">
        <v>3854686.0</v>
      </c>
      <c r="G4" s="70">
        <v>211460.19</v>
      </c>
      <c r="H4" s="1">
        <f t="shared" ref="H4:H25" si="2">D4-F4-G4</f>
        <v>1308616.31</v>
      </c>
      <c r="I4" s="92">
        <f>'ธ.ค. 68'!I4+H4</f>
        <v>4596862.03</v>
      </c>
      <c r="J4" s="1">
        <f t="shared" ref="J4:K4" si="1">(H4/D4)*100</f>
        <v>24.34742577</v>
      </c>
      <c r="K4" s="67">
        <f t="shared" si="1"/>
        <v>22.18568698</v>
      </c>
      <c r="L4" s="8"/>
      <c r="M4" s="68" t="s">
        <v>65</v>
      </c>
      <c r="N4" s="68" t="s">
        <v>66</v>
      </c>
      <c r="O4" s="58"/>
      <c r="P4" s="58"/>
      <c r="Q4" s="58"/>
      <c r="R4" s="58"/>
      <c r="S4" s="58">
        <v>1580443.5</v>
      </c>
      <c r="T4" s="58">
        <v>29.40489928624753</v>
      </c>
      <c r="U4" s="58">
        <v>23.49759778555391</v>
      </c>
      <c r="V4" s="58"/>
      <c r="W4" s="58"/>
      <c r="X4" s="58"/>
      <c r="Y4" s="58"/>
      <c r="Z4" s="58"/>
      <c r="AA4" s="58"/>
      <c r="AB4" s="58"/>
      <c r="AC4" s="58"/>
    </row>
    <row r="5">
      <c r="A5" s="64">
        <v>2.0</v>
      </c>
      <c r="B5" s="65" t="s">
        <v>28</v>
      </c>
      <c r="C5" s="69">
        <v>7227150.0</v>
      </c>
      <c r="D5" s="70">
        <v>6656927.03</v>
      </c>
      <c r="E5" s="1">
        <f>'ธ.ค. 68'!E5+D5</f>
        <v>25701020.37</v>
      </c>
      <c r="F5" s="70">
        <v>5069208.0</v>
      </c>
      <c r="G5" s="70">
        <v>238520.62</v>
      </c>
      <c r="H5" s="8">
        <f t="shared" si="2"/>
        <v>1349198.41</v>
      </c>
      <c r="I5" s="92">
        <f>'ธ.ค. 68'!I5+H5</f>
        <v>5527753.24</v>
      </c>
      <c r="J5" s="8">
        <f t="shared" ref="J5:K5" si="3">(H5/D5)*100</f>
        <v>20.26758599</v>
      </c>
      <c r="K5" s="67">
        <f t="shared" si="3"/>
        <v>21.50791354</v>
      </c>
      <c r="L5" s="8"/>
      <c r="M5" s="72" t="s">
        <v>67</v>
      </c>
      <c r="N5" s="72" t="s">
        <v>105</v>
      </c>
      <c r="O5" s="58"/>
      <c r="P5" s="58"/>
      <c r="Q5" s="58"/>
      <c r="R5" s="58"/>
      <c r="S5" s="58">
        <v>0.0</v>
      </c>
      <c r="T5" s="58" t="e">
        <v>#DIV/0!</v>
      </c>
      <c r="U5" s="58">
        <v>21.941474216697994</v>
      </c>
      <c r="V5" s="58"/>
      <c r="W5" s="58"/>
      <c r="X5" s="58"/>
      <c r="Y5" s="58"/>
      <c r="Z5" s="58"/>
      <c r="AA5" s="58"/>
      <c r="AB5" s="58"/>
      <c r="AC5" s="58"/>
    </row>
    <row r="6">
      <c r="A6" s="64">
        <v>3.0</v>
      </c>
      <c r="B6" s="65" t="s">
        <v>29</v>
      </c>
      <c r="C6" s="71">
        <v>2204136.02</v>
      </c>
      <c r="D6" s="71">
        <v>2064267.5</v>
      </c>
      <c r="E6" s="1">
        <f>'ธ.ค. 68'!E6+D6</f>
        <v>8216999</v>
      </c>
      <c r="F6" s="71">
        <v>1391155.0</v>
      </c>
      <c r="G6" s="71">
        <v>82904.89</v>
      </c>
      <c r="H6" s="8">
        <f t="shared" si="2"/>
        <v>590207.61</v>
      </c>
      <c r="I6" s="92">
        <f>'ธ.ค. 68'!I6+H6</f>
        <v>2599611.17</v>
      </c>
      <c r="J6" s="8">
        <f t="shared" ref="J6:K6" si="4">(H6/D6)*100</f>
        <v>28.59162439</v>
      </c>
      <c r="K6" s="67">
        <f t="shared" si="4"/>
        <v>31.63699022</v>
      </c>
      <c r="L6" s="8"/>
      <c r="M6" s="68"/>
      <c r="N6" s="8"/>
      <c r="O6" s="58"/>
      <c r="P6" s="58"/>
      <c r="Q6" s="58"/>
      <c r="R6" s="58"/>
      <c r="S6" s="58">
        <v>590207.61</v>
      </c>
      <c r="T6" s="58">
        <v>28.591624389765375</v>
      </c>
      <c r="U6" s="58">
        <v>31.63699021990875</v>
      </c>
      <c r="V6" s="58"/>
      <c r="W6" s="58"/>
      <c r="X6" s="58"/>
      <c r="Y6" s="58"/>
      <c r="Z6" s="58"/>
      <c r="AA6" s="58"/>
      <c r="AB6" s="58"/>
      <c r="AC6" s="58"/>
    </row>
    <row r="7">
      <c r="A7" s="64">
        <v>4.0</v>
      </c>
      <c r="B7" s="65" t="s">
        <v>30</v>
      </c>
      <c r="C7" s="71">
        <v>3073277.0</v>
      </c>
      <c r="D7" s="71">
        <v>2260683.0</v>
      </c>
      <c r="E7" s="1">
        <f>'ธ.ค. 68'!E7+D7</f>
        <v>9308869</v>
      </c>
      <c r="F7" s="71">
        <v>1781279.0</v>
      </c>
      <c r="G7" s="71">
        <v>35217.0</v>
      </c>
      <c r="H7" s="8">
        <f t="shared" si="2"/>
        <v>444187</v>
      </c>
      <c r="I7" s="92">
        <f>'ธ.ค. 68'!I7+H7</f>
        <v>2153363.32</v>
      </c>
      <c r="J7" s="8">
        <f t="shared" ref="J7:K7" si="5">(H7/D7)*100</f>
        <v>19.64835406</v>
      </c>
      <c r="K7" s="67">
        <f t="shared" si="5"/>
        <v>23.13238397</v>
      </c>
      <c r="L7" s="8"/>
      <c r="M7" s="72"/>
      <c r="N7" s="72" t="s">
        <v>70</v>
      </c>
      <c r="O7" s="58"/>
      <c r="P7" s="58"/>
      <c r="Q7" s="58"/>
      <c r="R7" s="58"/>
      <c r="S7" s="58">
        <v>444187.0</v>
      </c>
      <c r="T7" s="58">
        <v>19.648354059370554</v>
      </c>
      <c r="U7" s="58">
        <v>23.132383966301383</v>
      </c>
      <c r="V7" s="58"/>
      <c r="W7" s="58"/>
      <c r="X7" s="58"/>
      <c r="Y7" s="58"/>
      <c r="Z7" s="58"/>
      <c r="AA7" s="58"/>
      <c r="AB7" s="58"/>
      <c r="AC7" s="58"/>
    </row>
    <row r="8">
      <c r="A8" s="64">
        <v>5.0</v>
      </c>
      <c r="B8" s="65" t="s">
        <v>31</v>
      </c>
      <c r="C8" s="71">
        <v>2524922.18</v>
      </c>
      <c r="D8" s="86">
        <v>2824975.99</v>
      </c>
      <c r="E8" s="70">
        <f>'ธ.ค. 68'!E8+D8</f>
        <v>10920386.63</v>
      </c>
      <c r="F8" s="87">
        <v>1687853.0</v>
      </c>
      <c r="G8" s="71">
        <v>270350.0</v>
      </c>
      <c r="H8" s="8">
        <f t="shared" si="2"/>
        <v>866772.99</v>
      </c>
      <c r="I8" s="92">
        <f>'ธ.ค. 68'!I8+H8</f>
        <v>3786634.63</v>
      </c>
      <c r="J8" s="8">
        <f t="shared" ref="J8:K8" si="6">(H8/D8)*100</f>
        <v>30.68249051</v>
      </c>
      <c r="K8" s="67">
        <f t="shared" si="6"/>
        <v>34.67491361</v>
      </c>
      <c r="L8" s="71"/>
      <c r="M8" s="72" t="s">
        <v>119</v>
      </c>
      <c r="N8" s="72" t="s">
        <v>112</v>
      </c>
      <c r="O8" s="58"/>
      <c r="P8" s="58"/>
      <c r="Q8" s="58"/>
      <c r="R8" s="58"/>
      <c r="S8" s="58">
        <v>866772.9900000002</v>
      </c>
      <c r="T8" s="58">
        <v>30.68249050852996</v>
      </c>
      <c r="U8" s="58">
        <v>34.674913611552235</v>
      </c>
      <c r="V8" s="58"/>
      <c r="W8" s="58"/>
      <c r="X8" s="58"/>
      <c r="Y8" s="58"/>
      <c r="Z8" s="58"/>
      <c r="AA8" s="58"/>
      <c r="AB8" s="58"/>
      <c r="AC8" s="58"/>
    </row>
    <row r="9" ht="21.0" customHeight="1">
      <c r="A9" s="64">
        <v>6.0</v>
      </c>
      <c r="B9" s="65" t="s">
        <v>32</v>
      </c>
      <c r="C9" s="73">
        <v>2913612.0</v>
      </c>
      <c r="D9" s="73">
        <v>2871872.0</v>
      </c>
      <c r="E9" s="1">
        <f>'ธ.ค. 68'!E9+D9</f>
        <v>11373369</v>
      </c>
      <c r="F9" s="73">
        <v>2109230.0</v>
      </c>
      <c r="G9" s="73">
        <v>62658.0</v>
      </c>
      <c r="H9" s="8">
        <f t="shared" si="2"/>
        <v>699984</v>
      </c>
      <c r="I9" s="92">
        <f>'ธ.ค. 68'!I9+H9</f>
        <v>2973810</v>
      </c>
      <c r="J9" s="8">
        <f t="shared" ref="J9:K9" si="7">(H9/D9)*100</f>
        <v>24.37378825</v>
      </c>
      <c r="K9" s="67">
        <f t="shared" si="7"/>
        <v>26.14713371</v>
      </c>
      <c r="L9" s="8"/>
      <c r="M9" s="72" t="s">
        <v>72</v>
      </c>
      <c r="N9" s="72" t="s">
        <v>73</v>
      </c>
      <c r="O9" s="58"/>
      <c r="P9" s="58"/>
      <c r="Q9" s="58"/>
      <c r="R9" s="58"/>
      <c r="S9" s="58">
        <v>699984.0</v>
      </c>
      <c r="T9" s="58">
        <v>24.373788246829942</v>
      </c>
      <c r="U9" s="58">
        <v>26.147133712095332</v>
      </c>
      <c r="V9" s="58"/>
      <c r="W9" s="58"/>
      <c r="X9" s="58"/>
      <c r="Y9" s="58"/>
      <c r="Z9" s="58"/>
      <c r="AA9" s="58"/>
      <c r="AB9" s="58"/>
      <c r="AC9" s="58"/>
    </row>
    <row r="10">
      <c r="A10" s="75">
        <v>7.0</v>
      </c>
      <c r="B10" s="76" t="s">
        <v>33</v>
      </c>
      <c r="C10" s="77">
        <v>1080260.3</v>
      </c>
      <c r="D10" s="77">
        <v>1056784.0</v>
      </c>
      <c r="E10" s="1">
        <f>'ธ.ค. 68'!E10+D10</f>
        <v>4209078</v>
      </c>
      <c r="F10" s="77">
        <v>897940.0</v>
      </c>
      <c r="G10" s="77">
        <v>44051.42</v>
      </c>
      <c r="H10" s="16">
        <f t="shared" si="2"/>
        <v>114792.58</v>
      </c>
      <c r="I10" s="92">
        <f>'ธ.ค. 68'!I10+H10</f>
        <v>409620.13</v>
      </c>
      <c r="J10" s="16">
        <f t="shared" ref="J10:K10" si="8">(H10/D10)*100</f>
        <v>10.86244493</v>
      </c>
      <c r="K10" s="67">
        <f t="shared" si="8"/>
        <v>9.731825592</v>
      </c>
      <c r="L10" s="16"/>
      <c r="M10" s="79" t="s">
        <v>74</v>
      </c>
      <c r="N10" s="79" t="s">
        <v>75</v>
      </c>
      <c r="O10" s="58"/>
      <c r="P10" s="58"/>
      <c r="Q10" s="58"/>
      <c r="R10" s="58"/>
      <c r="S10" s="58">
        <v>114792.58</v>
      </c>
      <c r="T10" s="58">
        <v>10.86244492725098</v>
      </c>
      <c r="U10" s="58">
        <v>9.731825592208079</v>
      </c>
      <c r="V10" s="58"/>
      <c r="W10" s="58"/>
      <c r="X10" s="58"/>
      <c r="Y10" s="58"/>
      <c r="Z10" s="58"/>
      <c r="AA10" s="58"/>
      <c r="AB10" s="58"/>
      <c r="AC10" s="58"/>
    </row>
    <row r="11">
      <c r="A11" s="64">
        <v>8.0</v>
      </c>
      <c r="B11" s="65" t="s">
        <v>34</v>
      </c>
      <c r="C11" s="71">
        <v>1397452.0</v>
      </c>
      <c r="D11" s="71">
        <v>1395532.0</v>
      </c>
      <c r="E11" s="1">
        <f>'ธ.ค. 68'!E11+D11</f>
        <v>5432897</v>
      </c>
      <c r="F11" s="71">
        <v>1214781.0</v>
      </c>
      <c r="G11" s="93">
        <v>42820.03</v>
      </c>
      <c r="H11" s="8">
        <f t="shared" si="2"/>
        <v>137930.97</v>
      </c>
      <c r="I11" s="92">
        <f>'ธ.ค. 68'!I11+H11</f>
        <v>622099.8</v>
      </c>
      <c r="J11" s="8">
        <f t="shared" ref="J11:K11" si="9">(H11/D11)*100</f>
        <v>9.883755442</v>
      </c>
      <c r="K11" s="67">
        <f t="shared" si="9"/>
        <v>11.45060913</v>
      </c>
      <c r="L11" s="71"/>
      <c r="M11" s="72"/>
      <c r="N11" s="72" t="s">
        <v>108</v>
      </c>
      <c r="O11" s="58"/>
      <c r="P11" s="58"/>
      <c r="Q11" s="58"/>
      <c r="R11" s="58"/>
      <c r="S11" s="58">
        <v>137930.97</v>
      </c>
      <c r="T11" s="58">
        <v>9.883755442368932</v>
      </c>
      <c r="U11" s="58">
        <v>11.450609131739474</v>
      </c>
      <c r="V11" s="58"/>
      <c r="W11" s="58"/>
      <c r="X11" s="58"/>
      <c r="Y11" s="58"/>
      <c r="Z11" s="58"/>
      <c r="AA11" s="58"/>
      <c r="AB11" s="58"/>
      <c r="AC11" s="58"/>
    </row>
    <row r="12">
      <c r="A12" s="64">
        <v>9.0</v>
      </c>
      <c r="B12" s="65" t="s">
        <v>35</v>
      </c>
      <c r="C12" s="71">
        <v>3059258.0</v>
      </c>
      <c r="D12" s="71">
        <v>2805904.0</v>
      </c>
      <c r="E12" s="1">
        <f>'ธ.ค. 68'!E12+D12</f>
        <v>11206275</v>
      </c>
      <c r="F12" s="71">
        <v>1830724.0</v>
      </c>
      <c r="G12" s="71">
        <v>185000.0</v>
      </c>
      <c r="H12" s="8">
        <f t="shared" si="2"/>
        <v>790180</v>
      </c>
      <c r="I12" s="92">
        <f>'ธ.ค. 68'!I12+H12</f>
        <v>3410354</v>
      </c>
      <c r="J12" s="8">
        <f t="shared" ref="J12:K12" si="10">(H12/D12)*100</f>
        <v>28.1613341</v>
      </c>
      <c r="K12" s="67">
        <f t="shared" si="10"/>
        <v>30.43253891</v>
      </c>
      <c r="L12" s="8"/>
      <c r="M12" s="72"/>
      <c r="N12" s="80" t="s">
        <v>79</v>
      </c>
      <c r="O12" s="58"/>
      <c r="P12" s="58"/>
      <c r="Q12" s="58"/>
      <c r="R12" s="58"/>
      <c r="S12" s="58">
        <v>790180.0</v>
      </c>
      <c r="T12" s="58">
        <v>28.161334101237962</v>
      </c>
      <c r="U12" s="58">
        <v>30.43253891235045</v>
      </c>
      <c r="V12" s="58"/>
      <c r="W12" s="58"/>
      <c r="X12" s="58"/>
      <c r="Y12" s="58"/>
      <c r="Z12" s="58"/>
      <c r="AA12" s="58"/>
      <c r="AB12" s="58"/>
      <c r="AC12" s="58"/>
    </row>
    <row r="13">
      <c r="A13" s="64">
        <v>10.0</v>
      </c>
      <c r="B13" s="65" t="s">
        <v>36</v>
      </c>
      <c r="C13" s="71">
        <v>967202.41</v>
      </c>
      <c r="D13" s="71">
        <v>922955.0</v>
      </c>
      <c r="E13" s="1">
        <f>'ธ.ค. 68'!E13+D13</f>
        <v>3353738</v>
      </c>
      <c r="F13" s="71">
        <v>599330.0</v>
      </c>
      <c r="G13" s="71">
        <v>57850.0</v>
      </c>
      <c r="H13" s="8">
        <f t="shared" si="2"/>
        <v>265775</v>
      </c>
      <c r="I13" s="92">
        <f>'ธ.ค. 68'!I13+H13</f>
        <v>952603.8</v>
      </c>
      <c r="J13" s="8">
        <f t="shared" ref="J13:K13" si="11">(H13/D13)*100</f>
        <v>28.79609515</v>
      </c>
      <c r="K13" s="67">
        <f t="shared" si="11"/>
        <v>28.40424028</v>
      </c>
      <c r="L13" s="8"/>
      <c r="M13" s="68"/>
      <c r="N13" s="8"/>
      <c r="O13" s="58"/>
      <c r="P13" s="58"/>
      <c r="Q13" s="58"/>
      <c r="R13" s="58"/>
      <c r="S13" s="58">
        <v>265775.0</v>
      </c>
      <c r="T13" s="58">
        <v>28.79609515090118</v>
      </c>
      <c r="U13" s="58">
        <v>28.40424028352841</v>
      </c>
      <c r="V13" s="58"/>
      <c r="W13" s="58"/>
      <c r="X13" s="58"/>
      <c r="Y13" s="58"/>
      <c r="Z13" s="58"/>
      <c r="AA13" s="58"/>
      <c r="AB13" s="58"/>
      <c r="AC13" s="58"/>
    </row>
    <row r="14">
      <c r="A14" s="64">
        <v>11.0</v>
      </c>
      <c r="B14" s="65" t="s">
        <v>37</v>
      </c>
      <c r="C14" s="71">
        <v>2139977.0</v>
      </c>
      <c r="D14" s="71">
        <v>1932277.0</v>
      </c>
      <c r="E14" s="1">
        <f>'ธ.ค. 68'!E14+D14</f>
        <v>7763665</v>
      </c>
      <c r="F14" s="71">
        <v>1761969.0</v>
      </c>
      <c r="G14" s="71">
        <v>20256.0</v>
      </c>
      <c r="H14" s="8">
        <f t="shared" si="2"/>
        <v>150052</v>
      </c>
      <c r="I14" s="92">
        <f>'ธ.ค. 68'!I14+H14</f>
        <v>915413</v>
      </c>
      <c r="J14" s="8">
        <f t="shared" ref="J14:K14" si="12">(H14/D14)*100</f>
        <v>7.765553282</v>
      </c>
      <c r="K14" s="67">
        <f t="shared" si="12"/>
        <v>11.79099047</v>
      </c>
      <c r="L14" s="8"/>
      <c r="M14" s="72" t="s">
        <v>120</v>
      </c>
      <c r="N14" s="72" t="s">
        <v>81</v>
      </c>
      <c r="O14" s="58"/>
      <c r="P14" s="58"/>
      <c r="Q14" s="58"/>
      <c r="R14" s="58"/>
      <c r="S14" s="58">
        <v>0.0</v>
      </c>
      <c r="T14" s="58" t="e">
        <v>#DIV/0!</v>
      </c>
      <c r="U14" s="58">
        <v>13.124851236103652</v>
      </c>
      <c r="V14" s="58"/>
      <c r="W14" s="58"/>
      <c r="X14" s="58"/>
      <c r="Y14" s="58"/>
      <c r="Z14" s="58"/>
      <c r="AA14" s="58"/>
      <c r="AB14" s="58"/>
      <c r="AC14" s="58"/>
    </row>
    <row r="15">
      <c r="A15" s="64">
        <v>12.0</v>
      </c>
      <c r="B15" s="65" t="s">
        <v>38</v>
      </c>
      <c r="C15" s="71">
        <v>3697654.0</v>
      </c>
      <c r="D15" s="71">
        <v>3651761.0</v>
      </c>
      <c r="E15" s="1">
        <f>'ธ.ค. 68'!E15+D15</f>
        <v>13744428</v>
      </c>
      <c r="F15" s="71">
        <v>2596047.0</v>
      </c>
      <c r="G15" s="71">
        <v>113291.0</v>
      </c>
      <c r="H15" s="8">
        <f t="shared" si="2"/>
        <v>942423</v>
      </c>
      <c r="I15" s="92">
        <f>'ธ.ค. 68'!I15+H15</f>
        <v>3694027</v>
      </c>
      <c r="J15" s="8">
        <f t="shared" ref="J15:K15" si="13">(H15/D15)*100</f>
        <v>25.80735705</v>
      </c>
      <c r="K15" s="67">
        <f t="shared" si="13"/>
        <v>26.87654226</v>
      </c>
      <c r="L15" s="8"/>
      <c r="M15" s="68"/>
      <c r="N15" s="8"/>
      <c r="O15" s="58"/>
      <c r="P15" s="58"/>
      <c r="Q15" s="58"/>
      <c r="R15" s="58"/>
      <c r="S15" s="58">
        <v>942423.0</v>
      </c>
      <c r="T15" s="58">
        <v>25.807357053213504</v>
      </c>
      <c r="U15" s="58">
        <v>26.876542261344017</v>
      </c>
      <c r="V15" s="58"/>
      <c r="W15" s="58"/>
      <c r="X15" s="58"/>
      <c r="Y15" s="58"/>
      <c r="Z15" s="58"/>
      <c r="AA15" s="58"/>
      <c r="AB15" s="58"/>
      <c r="AC15" s="58"/>
    </row>
    <row r="16">
      <c r="A16" s="64">
        <v>13.0</v>
      </c>
      <c r="B16" s="65" t="s">
        <v>39</v>
      </c>
      <c r="C16" s="71">
        <v>1080260.3</v>
      </c>
      <c r="D16" s="71">
        <v>938285.0</v>
      </c>
      <c r="E16" s="1">
        <f>'ธ.ค. 68'!E16+D16</f>
        <v>3489350</v>
      </c>
      <c r="F16" s="71">
        <v>522584.0</v>
      </c>
      <c r="G16" s="71">
        <v>22849.0</v>
      </c>
      <c r="H16" s="8">
        <f t="shared" si="2"/>
        <v>392852</v>
      </c>
      <c r="I16" s="92">
        <f>'ธ.ค. 68'!I16+H16</f>
        <v>1503598</v>
      </c>
      <c r="J16" s="8">
        <f t="shared" ref="J16:K16" si="14">(H16/D16)*100</f>
        <v>41.86915489</v>
      </c>
      <c r="K16" s="67">
        <f t="shared" si="14"/>
        <v>43.09106281</v>
      </c>
      <c r="L16" s="8"/>
      <c r="M16" s="72" t="s">
        <v>109</v>
      </c>
      <c r="N16" s="72" t="s">
        <v>110</v>
      </c>
      <c r="O16" s="58"/>
      <c r="P16" s="58"/>
      <c r="Q16" s="58"/>
      <c r="R16" s="58"/>
      <c r="S16" s="58">
        <v>392880.0</v>
      </c>
      <c r="T16" s="58">
        <v>41.87213906222523</v>
      </c>
      <c r="U16" s="58">
        <v>43.09186524710906</v>
      </c>
      <c r="V16" s="58"/>
      <c r="W16" s="58"/>
      <c r="X16" s="58"/>
      <c r="Y16" s="58"/>
      <c r="Z16" s="58"/>
      <c r="AA16" s="58"/>
      <c r="AB16" s="58"/>
      <c r="AC16" s="58"/>
    </row>
    <row r="17">
      <c r="A17" s="64">
        <v>14.0</v>
      </c>
      <c r="B17" s="65" t="s">
        <v>40</v>
      </c>
      <c r="C17" s="71">
        <v>2096945.0</v>
      </c>
      <c r="D17" s="71">
        <v>2035678.0</v>
      </c>
      <c r="E17" s="1">
        <f>'ธ.ค. 68'!E17+D17</f>
        <v>8025645.11</v>
      </c>
      <c r="F17" s="94">
        <v>1333697.0</v>
      </c>
      <c r="G17" s="71">
        <v>43523.0</v>
      </c>
      <c r="H17" s="8">
        <f t="shared" si="2"/>
        <v>658458</v>
      </c>
      <c r="I17" s="92">
        <f>'ธ.ค. 68'!I17+H17</f>
        <v>2603979.11</v>
      </c>
      <c r="J17" s="8">
        <f t="shared" ref="J17:K17" si="15">(H17/D17)*100</f>
        <v>32.34588181</v>
      </c>
      <c r="K17" s="67">
        <f t="shared" si="15"/>
        <v>32.44572959</v>
      </c>
      <c r="L17" s="8"/>
      <c r="M17" s="72" t="s">
        <v>85</v>
      </c>
      <c r="N17" s="88" t="s">
        <v>113</v>
      </c>
      <c r="O17" s="58"/>
      <c r="P17" s="58"/>
      <c r="Q17" s="58"/>
      <c r="R17" s="58"/>
      <c r="S17" s="58">
        <v>0.0</v>
      </c>
      <c r="T17" s="58" t="e">
        <v>#DIV/0!</v>
      </c>
      <c r="U17" s="58">
        <v>32.53423723723919</v>
      </c>
      <c r="V17" s="58"/>
      <c r="W17" s="58"/>
      <c r="X17" s="58"/>
      <c r="Y17" s="58"/>
      <c r="Z17" s="58"/>
      <c r="AA17" s="58"/>
      <c r="AB17" s="58"/>
      <c r="AC17" s="58"/>
    </row>
    <row r="18">
      <c r="A18" s="64">
        <v>15.0</v>
      </c>
      <c r="B18" s="65" t="s">
        <v>41</v>
      </c>
      <c r="C18" s="95">
        <v>632044.21</v>
      </c>
      <c r="D18" s="95">
        <v>592636.0</v>
      </c>
      <c r="E18" s="1">
        <f>'ธ.ค. 68'!E18+D18</f>
        <v>2285137</v>
      </c>
      <c r="F18" s="95">
        <v>273817.0</v>
      </c>
      <c r="G18" s="95">
        <v>15458.24</v>
      </c>
      <c r="H18" s="8">
        <f t="shared" si="2"/>
        <v>303360.76</v>
      </c>
      <c r="I18" s="92">
        <f>'ธ.ค. 68'!I18+H18</f>
        <v>1234843.56</v>
      </c>
      <c r="J18" s="8">
        <f t="shared" ref="J18:K18" si="16">(H18/D18)*100</f>
        <v>51.1883787</v>
      </c>
      <c r="K18" s="67">
        <f t="shared" si="16"/>
        <v>54.03805374</v>
      </c>
      <c r="L18" s="8"/>
      <c r="M18" s="72" t="s">
        <v>87</v>
      </c>
      <c r="N18" s="72" t="s">
        <v>88</v>
      </c>
      <c r="O18" s="58"/>
      <c r="P18" s="58"/>
      <c r="Q18" s="58"/>
      <c r="R18" s="58"/>
      <c r="S18" s="58">
        <v>303360.76</v>
      </c>
      <c r="T18" s="58">
        <v>51.18837870126013</v>
      </c>
      <c r="U18" s="58">
        <v>54.03805373594669</v>
      </c>
      <c r="V18" s="58"/>
      <c r="W18" s="58"/>
      <c r="X18" s="58"/>
      <c r="Y18" s="58"/>
      <c r="Z18" s="58"/>
      <c r="AA18" s="58"/>
      <c r="AB18" s="58"/>
      <c r="AC18" s="58"/>
    </row>
    <row r="19">
      <c r="A19" s="64">
        <v>16.0</v>
      </c>
      <c r="B19" s="65" t="s">
        <v>42</v>
      </c>
      <c r="C19" s="71">
        <v>1648417.38</v>
      </c>
      <c r="D19" s="71">
        <v>1287114.0</v>
      </c>
      <c r="E19" s="1">
        <f>'ธ.ค. 68'!E19+D19</f>
        <v>5089107.47</v>
      </c>
      <c r="F19" s="71">
        <v>573966.0</v>
      </c>
      <c r="G19" s="71">
        <v>197.0</v>
      </c>
      <c r="H19" s="8">
        <f t="shared" si="2"/>
        <v>712951</v>
      </c>
      <c r="I19" s="92">
        <f>'ธ.ค. 68'!I19+H19</f>
        <v>2992936.47</v>
      </c>
      <c r="J19" s="8">
        <f t="shared" ref="J19:K19" si="17">(H19/D19)*100</f>
        <v>55.39144163</v>
      </c>
      <c r="K19" s="67">
        <f t="shared" si="17"/>
        <v>58.810636</v>
      </c>
      <c r="L19" s="8"/>
      <c r="M19" s="72"/>
      <c r="N19" s="90">
        <v>9.70059909E8</v>
      </c>
      <c r="O19" s="58"/>
      <c r="P19" s="58"/>
      <c r="Q19" s="58"/>
      <c r="R19" s="58"/>
      <c r="S19" s="58">
        <v>712951.0</v>
      </c>
      <c r="T19" s="58">
        <v>55.391441628325076</v>
      </c>
      <c r="U19" s="58">
        <v>58.810636003330465</v>
      </c>
      <c r="V19" s="58"/>
      <c r="W19" s="58"/>
      <c r="X19" s="58"/>
      <c r="Y19" s="58"/>
      <c r="Z19" s="58"/>
      <c r="AA19" s="58"/>
      <c r="AB19" s="58"/>
      <c r="AC19" s="58"/>
    </row>
    <row r="20">
      <c r="A20" s="64">
        <v>17.0</v>
      </c>
      <c r="B20" s="65" t="s">
        <v>43</v>
      </c>
      <c r="C20" s="71">
        <v>206093.0</v>
      </c>
      <c r="D20" s="71">
        <v>172746.0</v>
      </c>
      <c r="E20" s="1">
        <f>'ธ.ค. 68'!E20+D20</f>
        <v>642056</v>
      </c>
      <c r="F20" s="71">
        <v>69431.0</v>
      </c>
      <c r="G20" s="71">
        <v>2478.0</v>
      </c>
      <c r="H20" s="8">
        <f t="shared" si="2"/>
        <v>100837</v>
      </c>
      <c r="I20" s="92">
        <f>'ธ.ค. 68'!I20+H20</f>
        <v>317114.16</v>
      </c>
      <c r="J20" s="8">
        <f t="shared" ref="J20:K20" si="18">(H20/D20)*100</f>
        <v>58.37298693</v>
      </c>
      <c r="K20" s="67">
        <f t="shared" si="18"/>
        <v>49.39042077</v>
      </c>
      <c r="L20" s="8"/>
      <c r="M20" s="72"/>
      <c r="N20" s="71" t="s">
        <v>116</v>
      </c>
      <c r="O20" s="58"/>
      <c r="P20" s="58"/>
      <c r="Q20" s="58"/>
      <c r="R20" s="58"/>
      <c r="S20" s="58">
        <v>100837.0</v>
      </c>
      <c r="T20" s="58">
        <v>58.37298692878562</v>
      </c>
      <c r="U20" s="58">
        <v>49.39042077326589</v>
      </c>
      <c r="V20" s="58"/>
      <c r="W20" s="58"/>
      <c r="X20" s="58"/>
      <c r="Y20" s="58"/>
      <c r="Z20" s="58"/>
      <c r="AA20" s="58"/>
      <c r="AB20" s="58"/>
      <c r="AC20" s="58"/>
    </row>
    <row r="21">
      <c r="A21" s="64">
        <v>18.0</v>
      </c>
      <c r="B21" s="65" t="s">
        <v>44</v>
      </c>
      <c r="C21" s="71">
        <v>681646.94</v>
      </c>
      <c r="D21" s="71">
        <v>602598.14</v>
      </c>
      <c r="E21" s="1">
        <f>'ธ.ค. 68'!E21+D21</f>
        <v>2346193.71</v>
      </c>
      <c r="F21" s="71">
        <v>339718.0</v>
      </c>
      <c r="G21" s="71">
        <v>30470.0</v>
      </c>
      <c r="H21" s="8">
        <f t="shared" si="2"/>
        <v>232410.14</v>
      </c>
      <c r="I21" s="92">
        <f>'ธ.ค. 68'!I21+H21</f>
        <v>957946.71</v>
      </c>
      <c r="J21" s="8">
        <f t="shared" ref="J21:K21" si="19">(H21/D21)*100</f>
        <v>38.56801483</v>
      </c>
      <c r="K21" s="67">
        <f t="shared" si="19"/>
        <v>40.82982176</v>
      </c>
      <c r="L21" s="8"/>
      <c r="M21" s="72" t="s">
        <v>111</v>
      </c>
      <c r="N21" s="71" t="s">
        <v>117</v>
      </c>
      <c r="O21" s="58"/>
      <c r="P21" s="58"/>
      <c r="Q21" s="58"/>
      <c r="R21" s="58"/>
      <c r="S21" s="58">
        <v>232410.14</v>
      </c>
      <c r="T21" s="58">
        <v>38.568014829916336</v>
      </c>
      <c r="U21" s="58">
        <v>40.82982176267108</v>
      </c>
      <c r="V21" s="58"/>
      <c r="W21" s="58"/>
      <c r="X21" s="58"/>
      <c r="Y21" s="58"/>
      <c r="Z21" s="58"/>
      <c r="AA21" s="58"/>
      <c r="AB21" s="58"/>
      <c r="AC21" s="58"/>
    </row>
    <row r="22">
      <c r="A22" s="64">
        <v>19.0</v>
      </c>
      <c r="B22" s="65" t="s">
        <v>45</v>
      </c>
      <c r="C22" s="71">
        <v>189251.0</v>
      </c>
      <c r="D22" s="71">
        <v>156605.0</v>
      </c>
      <c r="E22" s="1">
        <f>'ธ.ค. 68'!E22+D22</f>
        <v>614553</v>
      </c>
      <c r="F22" s="71">
        <v>115535.0</v>
      </c>
      <c r="G22" s="71">
        <v>9914.0</v>
      </c>
      <c r="H22" s="8">
        <f t="shared" si="2"/>
        <v>31156</v>
      </c>
      <c r="I22" s="92">
        <f>'ธ.ค. 68'!I22+H22</f>
        <v>133360.77</v>
      </c>
      <c r="J22" s="8">
        <f t="shared" ref="J22:K22" si="20">(H22/D22)*100</f>
        <v>19.89463938</v>
      </c>
      <c r="K22" s="67">
        <f t="shared" si="20"/>
        <v>21.70045057</v>
      </c>
      <c r="L22" s="8"/>
      <c r="M22" s="82" t="s">
        <v>94</v>
      </c>
      <c r="N22" s="82" t="s">
        <v>95</v>
      </c>
      <c r="O22" s="58"/>
      <c r="P22" s="58"/>
      <c r="Q22" s="58"/>
      <c r="R22" s="58"/>
      <c r="S22" s="58">
        <v>31156.0</v>
      </c>
      <c r="T22" s="58">
        <v>19.89463937933016</v>
      </c>
      <c r="U22" s="58">
        <v>21.700450571390917</v>
      </c>
      <c r="V22" s="58"/>
      <c r="W22" s="58"/>
      <c r="X22" s="58"/>
      <c r="Y22" s="58"/>
      <c r="Z22" s="58"/>
      <c r="AA22" s="58"/>
      <c r="AB22" s="58"/>
      <c r="AC22" s="58"/>
    </row>
    <row r="23">
      <c r="A23" s="64">
        <v>20.0</v>
      </c>
      <c r="B23" s="65" t="s">
        <v>46</v>
      </c>
      <c r="C23" s="71">
        <v>720084.0</v>
      </c>
      <c r="D23" s="71">
        <v>593629.0</v>
      </c>
      <c r="E23" s="1">
        <f>'ธ.ค. 68'!E23+D23</f>
        <v>2331935</v>
      </c>
      <c r="F23" s="71">
        <v>366954.0</v>
      </c>
      <c r="G23" s="71">
        <v>15486.0</v>
      </c>
      <c r="H23" s="8">
        <f t="shared" si="2"/>
        <v>211189</v>
      </c>
      <c r="I23" s="92">
        <f>'ธ.ค. 68'!I23+H23</f>
        <v>919646</v>
      </c>
      <c r="J23" s="8">
        <f t="shared" ref="J23:K23" si="21">(H23/D23)*100</f>
        <v>35.57592368</v>
      </c>
      <c r="K23" s="67">
        <f t="shared" si="21"/>
        <v>39.43703405</v>
      </c>
      <c r="L23" s="8"/>
      <c r="M23" s="72" t="s">
        <v>121</v>
      </c>
      <c r="N23" s="72" t="s">
        <v>122</v>
      </c>
      <c r="O23" s="58"/>
      <c r="P23" s="58"/>
      <c r="Q23" s="58"/>
      <c r="R23" s="58"/>
      <c r="S23" s="58">
        <v>282243.0</v>
      </c>
      <c r="T23" s="58">
        <v>42.51435130302752</v>
      </c>
      <c r="U23" s="58">
        <v>41.24165394559865</v>
      </c>
      <c r="V23" s="58"/>
      <c r="W23" s="58"/>
      <c r="X23" s="58"/>
      <c r="Y23" s="58"/>
      <c r="Z23" s="58"/>
      <c r="AA23" s="58"/>
      <c r="AB23" s="58"/>
      <c r="AC23" s="58"/>
    </row>
    <row r="24">
      <c r="A24" s="64">
        <v>21.0</v>
      </c>
      <c r="B24" s="65" t="s">
        <v>47</v>
      </c>
      <c r="C24" s="71">
        <v>1836002.0</v>
      </c>
      <c r="D24" s="71">
        <v>1681037.0</v>
      </c>
      <c r="E24" s="1">
        <f>'ธ.ค. 68'!E24+D24</f>
        <v>6505229</v>
      </c>
      <c r="F24" s="71">
        <v>832653.0</v>
      </c>
      <c r="G24" s="71">
        <v>25000.0</v>
      </c>
      <c r="H24" s="8">
        <f t="shared" si="2"/>
        <v>823384</v>
      </c>
      <c r="I24" s="92">
        <f>'ธ.ค. 68'!I24+H24</f>
        <v>3236258</v>
      </c>
      <c r="J24" s="8">
        <f t="shared" ref="J24:K24" si="22">(H24/D24)*100</f>
        <v>48.98071845</v>
      </c>
      <c r="K24" s="67">
        <f t="shared" si="22"/>
        <v>49.74856381</v>
      </c>
      <c r="L24" s="8"/>
      <c r="M24" s="72"/>
      <c r="N24" s="8"/>
      <c r="O24" s="58"/>
      <c r="P24" s="58"/>
      <c r="Q24" s="58"/>
      <c r="R24" s="58"/>
      <c r="S24" s="58">
        <v>0.0</v>
      </c>
      <c r="T24" s="58" t="e">
        <v>#DIV/0!</v>
      </c>
      <c r="U24" s="58">
        <v>50.01612705298628</v>
      </c>
      <c r="V24" s="58"/>
      <c r="W24" s="58"/>
      <c r="X24" s="58"/>
      <c r="Y24" s="58"/>
      <c r="Z24" s="58"/>
      <c r="AA24" s="58"/>
      <c r="AB24" s="58"/>
      <c r="AC24" s="58"/>
    </row>
    <row r="25">
      <c r="A25" s="64">
        <v>22.0</v>
      </c>
      <c r="B25" s="65" t="s">
        <v>48</v>
      </c>
      <c r="C25" s="71">
        <v>565043.0</v>
      </c>
      <c r="D25" s="71">
        <v>560894.0</v>
      </c>
      <c r="E25" s="1">
        <f>'ธ.ค. 68'!E25+D25</f>
        <v>2209669</v>
      </c>
      <c r="F25" s="71">
        <v>333862.0</v>
      </c>
      <c r="G25" s="71">
        <v>58002.0</v>
      </c>
      <c r="H25" s="8">
        <f t="shared" si="2"/>
        <v>169030</v>
      </c>
      <c r="I25" s="92">
        <f>'ธ.ค. 68'!I25+H25</f>
        <v>712364</v>
      </c>
      <c r="J25" s="8">
        <f t="shared" ref="J25:K25" si="23">(H25/D25)*100</f>
        <v>30.13581889</v>
      </c>
      <c r="K25" s="67">
        <f t="shared" si="23"/>
        <v>32.23849364</v>
      </c>
      <c r="L25" s="8"/>
      <c r="M25" s="72"/>
      <c r="N25" s="72" t="s">
        <v>99</v>
      </c>
      <c r="O25" s="58"/>
      <c r="P25" s="58"/>
      <c r="Q25" s="58"/>
      <c r="R25" s="58"/>
      <c r="S25" s="58">
        <v>162032.0</v>
      </c>
      <c r="T25" s="58">
        <v>28.88816781780515</v>
      </c>
      <c r="U25" s="58">
        <v>31.92179462172841</v>
      </c>
      <c r="V25" s="58"/>
      <c r="W25" s="58"/>
      <c r="X25" s="58"/>
      <c r="Y25" s="58"/>
      <c r="Z25" s="58"/>
      <c r="AA25" s="58"/>
      <c r="AB25" s="58"/>
      <c r="AC25" s="58"/>
    </row>
    <row r="26">
      <c r="A26" s="83">
        <v>23.0</v>
      </c>
      <c r="B26" s="84" t="s">
        <v>100</v>
      </c>
      <c r="C26" s="18">
        <f>SUM(C4:C25)</f>
        <v>44386155.74</v>
      </c>
      <c r="D26" s="18">
        <f>sum(D4:D25)</f>
        <v>42439923.16</v>
      </c>
      <c r="E26" s="85">
        <f>SUM(E4:E25)</f>
        <v>165489544.8</v>
      </c>
      <c r="F26" s="18">
        <f t="shared" ref="F26:H26" si="24">sum(F4:F25)</f>
        <v>29556419</v>
      </c>
      <c r="G26" s="18">
        <f t="shared" si="24"/>
        <v>1587756.39</v>
      </c>
      <c r="H26" s="18">
        <f t="shared" si="24"/>
        <v>11295747.77</v>
      </c>
      <c r="I26" s="85">
        <f>'ธ.ค. 68'!I26+H26</f>
        <v>46254198.9</v>
      </c>
      <c r="J26" s="18">
        <f t="shared" ref="J26:K26" si="25">(H26/D26)*100</f>
        <v>26.61585349</v>
      </c>
      <c r="K26" s="18">
        <f t="shared" si="25"/>
        <v>27.94992213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2:G1000">
    <cfRule type="cellIs" dxfId="1" priority="1" operator="greaterThan">
      <formula>100000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" width="4.44"/>
    <col customWidth="1" min="3" max="3" width="15.44"/>
    <col customWidth="1" min="4" max="4" width="19.22"/>
    <col customWidth="1" min="5" max="5" width="24.33"/>
    <col customWidth="1" min="6" max="6" width="15.33"/>
    <col customWidth="1" min="7" max="8" width="17.67"/>
    <col customWidth="1" min="9" max="9" width="20.22"/>
    <col customWidth="1" min="11" max="11" width="15.44"/>
    <col customWidth="1" min="12" max="12" width="25.44"/>
    <col customWidth="1" min="13" max="13" width="23.11"/>
    <col customWidth="1" min="14" max="14" width="16.0"/>
  </cols>
  <sheetData>
    <row r="1" ht="27.75" customHeight="1">
      <c r="A1" s="57" t="s">
        <v>123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42.75" customHeight="1">
      <c r="A2" s="63" t="s">
        <v>52</v>
      </c>
      <c r="B2" s="63" t="s">
        <v>53</v>
      </c>
      <c r="C2" s="96" t="s">
        <v>54</v>
      </c>
      <c r="D2" s="96" t="s">
        <v>55</v>
      </c>
      <c r="E2" s="97" t="s">
        <v>102</v>
      </c>
      <c r="F2" s="97" t="s">
        <v>124</v>
      </c>
      <c r="G2" s="97" t="s">
        <v>125</v>
      </c>
      <c r="H2" s="98" t="s">
        <v>58</v>
      </c>
      <c r="I2" s="4"/>
      <c r="J2" s="4"/>
      <c r="K2" s="5"/>
      <c r="L2" s="63" t="s">
        <v>59</v>
      </c>
      <c r="M2" s="63" t="s">
        <v>60</v>
      </c>
      <c r="N2" s="63" t="s">
        <v>61</v>
      </c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ht="32.25" customHeight="1">
      <c r="A3" s="34"/>
      <c r="B3" s="34"/>
      <c r="C3" s="96" t="s">
        <v>62</v>
      </c>
      <c r="D3" s="96" t="s">
        <v>62</v>
      </c>
      <c r="E3" s="96" t="s">
        <v>62</v>
      </c>
      <c r="F3" s="96" t="s">
        <v>62</v>
      </c>
      <c r="G3" s="96" t="s">
        <v>62</v>
      </c>
      <c r="H3" s="96" t="s">
        <v>63</v>
      </c>
      <c r="I3" s="97" t="s">
        <v>103</v>
      </c>
      <c r="J3" s="96" t="s">
        <v>64</v>
      </c>
      <c r="K3" s="97" t="s">
        <v>104</v>
      </c>
      <c r="L3" s="34"/>
      <c r="M3" s="34"/>
      <c r="N3" s="34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</row>
    <row r="4">
      <c r="A4" s="64">
        <f t="array" ref="A4:A25">SEQUENCE(22,1)</f>
        <v>1</v>
      </c>
      <c r="B4" s="65" t="s">
        <v>27</v>
      </c>
      <c r="C4" s="69">
        <v>4140116.0</v>
      </c>
      <c r="D4" s="70">
        <v>4847033.5</v>
      </c>
      <c r="E4" s="1">
        <f>'ม.ค. 69'!E4+D4</f>
        <v>25566978</v>
      </c>
      <c r="F4" s="70">
        <v>3748742.0</v>
      </c>
      <c r="G4" s="70">
        <v>183109.17</v>
      </c>
      <c r="H4" s="1">
        <f t="shared" ref="H4:H25" si="2">D4-F4-G4</f>
        <v>915182.33</v>
      </c>
      <c r="I4" s="92">
        <f>'ม.ค. 69'!I4+H4</f>
        <v>5512044.36</v>
      </c>
      <c r="J4" s="1">
        <f t="shared" ref="J4:K4" si="1">(H4/D4)*100</f>
        <v>18.88128749</v>
      </c>
      <c r="K4" s="67">
        <f t="shared" si="1"/>
        <v>21.55923301</v>
      </c>
      <c r="L4" s="8"/>
      <c r="M4" s="68" t="s">
        <v>65</v>
      </c>
      <c r="N4" s="68" t="s">
        <v>66</v>
      </c>
      <c r="O4" s="58"/>
      <c r="P4" s="58"/>
      <c r="Q4" s="58"/>
      <c r="R4" s="58"/>
      <c r="S4" s="58">
        <v>1580443.5</v>
      </c>
      <c r="T4" s="58">
        <v>29.40489928624753</v>
      </c>
      <c r="U4" s="58">
        <v>23.49759778555391</v>
      </c>
      <c r="V4" s="58"/>
      <c r="W4" s="58"/>
      <c r="X4" s="58"/>
      <c r="Y4" s="58"/>
      <c r="Z4" s="58"/>
      <c r="AA4" s="58"/>
      <c r="AB4" s="58"/>
      <c r="AC4" s="58"/>
    </row>
    <row r="5">
      <c r="A5" s="64">
        <v>2.0</v>
      </c>
      <c r="B5" s="65" t="s">
        <v>28</v>
      </c>
      <c r="C5" s="69">
        <v>6510766.0</v>
      </c>
      <c r="D5" s="70">
        <v>6091777.79</v>
      </c>
      <c r="E5" s="1">
        <f>'ม.ค. 69'!E5+D5</f>
        <v>31792798.16</v>
      </c>
      <c r="F5" s="70">
        <v>4857332.0</v>
      </c>
      <c r="G5" s="70">
        <v>235000.0</v>
      </c>
      <c r="H5" s="8">
        <f t="shared" si="2"/>
        <v>999445.79</v>
      </c>
      <c r="I5" s="92">
        <f>'ม.ค. 69'!I5+H5</f>
        <v>6527199.03</v>
      </c>
      <c r="J5" s="8">
        <f t="shared" ref="J5:K5" si="3">(H5/D5)*100</f>
        <v>16.40647155</v>
      </c>
      <c r="K5" s="67">
        <f t="shared" si="3"/>
        <v>20.5304327</v>
      </c>
      <c r="L5" s="8"/>
      <c r="M5" s="72" t="s">
        <v>126</v>
      </c>
      <c r="N5" s="72" t="s">
        <v>68</v>
      </c>
      <c r="O5" s="58"/>
      <c r="P5" s="58"/>
      <c r="Q5" s="58"/>
      <c r="R5" s="58"/>
      <c r="S5" s="58">
        <v>0.0</v>
      </c>
      <c r="T5" s="58" t="e">
        <v>#DIV/0!</v>
      </c>
      <c r="U5" s="58">
        <v>21.941474216697994</v>
      </c>
      <c r="V5" s="58"/>
      <c r="W5" s="58"/>
      <c r="X5" s="58"/>
      <c r="Y5" s="58"/>
      <c r="Z5" s="58"/>
      <c r="AA5" s="58"/>
      <c r="AB5" s="58"/>
      <c r="AC5" s="58"/>
    </row>
    <row r="6">
      <c r="A6" s="64">
        <v>3.0</v>
      </c>
      <c r="B6" s="65" t="s">
        <v>29</v>
      </c>
      <c r="C6" s="71">
        <v>2282069.16</v>
      </c>
      <c r="D6" s="71">
        <v>1992575.5</v>
      </c>
      <c r="E6" s="1">
        <f>'ม.ค. 69'!E6+D6</f>
        <v>10209574.5</v>
      </c>
      <c r="F6" s="71">
        <v>1338275.0</v>
      </c>
      <c r="G6" s="71">
        <v>80175.21</v>
      </c>
      <c r="H6" s="8">
        <f t="shared" si="2"/>
        <v>574125.29</v>
      </c>
      <c r="I6" s="92">
        <f>'ม.ค. 69'!I6+H6</f>
        <v>3173736.46</v>
      </c>
      <c r="J6" s="8">
        <f t="shared" ref="J6:K6" si="4">(H6/D6)*100</f>
        <v>28.8132264</v>
      </c>
      <c r="K6" s="67">
        <f t="shared" si="4"/>
        <v>31.08588375</v>
      </c>
      <c r="L6" s="8"/>
      <c r="M6" s="68"/>
      <c r="N6" s="8"/>
      <c r="O6" s="58"/>
      <c r="P6" s="58"/>
      <c r="Q6" s="58"/>
      <c r="R6" s="58"/>
      <c r="S6" s="58">
        <v>590207.61</v>
      </c>
      <c r="T6" s="58">
        <v>28.591624389765375</v>
      </c>
      <c r="U6" s="58">
        <v>31.63699021990875</v>
      </c>
      <c r="V6" s="58"/>
      <c r="W6" s="58"/>
      <c r="X6" s="58"/>
      <c r="Y6" s="58"/>
      <c r="Z6" s="58"/>
      <c r="AA6" s="58"/>
      <c r="AB6" s="58"/>
      <c r="AC6" s="58"/>
    </row>
    <row r="7">
      <c r="A7" s="64">
        <v>4.0</v>
      </c>
      <c r="B7" s="65" t="s">
        <v>30</v>
      </c>
      <c r="C7" s="71">
        <v>2725999.0</v>
      </c>
      <c r="D7" s="71">
        <v>2473860.0</v>
      </c>
      <c r="E7" s="1">
        <f>'ม.ค. 69'!E7+D7</f>
        <v>11782729</v>
      </c>
      <c r="F7" s="100">
        <v>1739524.0</v>
      </c>
      <c r="G7" s="71">
        <v>44501.97</v>
      </c>
      <c r="H7" s="8">
        <f t="shared" si="2"/>
        <v>689834.03</v>
      </c>
      <c r="I7" s="92">
        <f>'ม.ค. 69'!I7+H7</f>
        <v>2843197.35</v>
      </c>
      <c r="J7" s="101">
        <f t="shared" ref="J7:K7" si="5">(H7/D7)*100</f>
        <v>27.88492599</v>
      </c>
      <c r="K7" s="67">
        <f t="shared" si="5"/>
        <v>24.13021084</v>
      </c>
      <c r="L7" s="8"/>
      <c r="M7" s="72" t="s">
        <v>69</v>
      </c>
      <c r="N7" s="72" t="s">
        <v>70</v>
      </c>
      <c r="O7" s="58"/>
      <c r="P7" s="58"/>
      <c r="Q7" s="58"/>
      <c r="R7" s="58"/>
      <c r="S7" s="58">
        <v>444187.0</v>
      </c>
      <c r="T7" s="58">
        <v>19.648354059370554</v>
      </c>
      <c r="U7" s="58">
        <v>23.132383966301383</v>
      </c>
      <c r="V7" s="58"/>
      <c r="W7" s="58"/>
      <c r="X7" s="58"/>
      <c r="Y7" s="58"/>
      <c r="Z7" s="58"/>
      <c r="AA7" s="58"/>
      <c r="AB7" s="58"/>
      <c r="AC7" s="58"/>
    </row>
    <row r="8">
      <c r="A8" s="64">
        <v>5.0</v>
      </c>
      <c r="B8" s="65" t="s">
        <v>31</v>
      </c>
      <c r="C8" s="71">
        <v>2265620.56</v>
      </c>
      <c r="D8" s="86">
        <v>2492475.62</v>
      </c>
      <c r="E8" s="1">
        <f>'ม.ค. 69'!E8+D8</f>
        <v>13412862.25</v>
      </c>
      <c r="F8" s="102">
        <v>1579129.0</v>
      </c>
      <c r="G8" s="71">
        <v>210500.0</v>
      </c>
      <c r="H8" s="8">
        <f t="shared" si="2"/>
        <v>702846.62</v>
      </c>
      <c r="I8" s="92">
        <f>'ม.ค. 69'!I8+H8</f>
        <v>4489481.25</v>
      </c>
      <c r="J8" s="101">
        <f t="shared" ref="J8:K8" si="6">(H8/D8)*100</f>
        <v>28.198736</v>
      </c>
      <c r="K8" s="67">
        <f t="shared" si="6"/>
        <v>33.47146318</v>
      </c>
      <c r="L8" s="71"/>
      <c r="M8" s="72" t="s">
        <v>71</v>
      </c>
      <c r="N8" s="72" t="s">
        <v>112</v>
      </c>
      <c r="O8" s="58"/>
      <c r="P8" s="58"/>
      <c r="Q8" s="58"/>
      <c r="R8" s="58"/>
      <c r="S8" s="58">
        <v>866772.9900000002</v>
      </c>
      <c r="T8" s="58">
        <v>30.68249050852996</v>
      </c>
      <c r="U8" s="58">
        <v>34.674913611552235</v>
      </c>
      <c r="V8" s="58"/>
      <c r="W8" s="58"/>
      <c r="X8" s="58"/>
      <c r="Y8" s="58"/>
      <c r="Z8" s="58"/>
      <c r="AA8" s="58"/>
      <c r="AB8" s="58"/>
      <c r="AC8" s="58"/>
    </row>
    <row r="9" ht="21.0" customHeight="1">
      <c r="A9" s="64">
        <v>6.0</v>
      </c>
      <c r="B9" s="65" t="s">
        <v>32</v>
      </c>
      <c r="C9" s="73">
        <v>2697607.44</v>
      </c>
      <c r="D9" s="73">
        <v>2631483.44</v>
      </c>
      <c r="E9" s="1">
        <f>'ม.ค. 69'!E9+D9</f>
        <v>14004852.44</v>
      </c>
      <c r="F9" s="103">
        <v>2006278.0</v>
      </c>
      <c r="G9" s="73">
        <v>125854.0</v>
      </c>
      <c r="H9" s="8">
        <f t="shared" si="2"/>
        <v>499351.44</v>
      </c>
      <c r="I9" s="92">
        <f>'ม.ค. 69'!I9+H9</f>
        <v>3473161.44</v>
      </c>
      <c r="J9" s="101">
        <f t="shared" ref="J9:K9" si="7">(H9/D9)*100</f>
        <v>18.97604341</v>
      </c>
      <c r="K9" s="67">
        <f t="shared" si="7"/>
        <v>24.79970035</v>
      </c>
      <c r="L9" s="8"/>
      <c r="M9" s="72" t="s">
        <v>72</v>
      </c>
      <c r="N9" s="72" t="s">
        <v>73</v>
      </c>
      <c r="O9" s="58"/>
      <c r="P9" s="58"/>
      <c r="Q9" s="58"/>
      <c r="R9" s="58"/>
      <c r="S9" s="58">
        <v>699984.0</v>
      </c>
      <c r="T9" s="58">
        <v>24.373788246829942</v>
      </c>
      <c r="U9" s="58">
        <v>26.147133712095332</v>
      </c>
      <c r="V9" s="58"/>
      <c r="W9" s="58"/>
      <c r="X9" s="58"/>
      <c r="Y9" s="58"/>
      <c r="Z9" s="58"/>
      <c r="AA9" s="58"/>
      <c r="AB9" s="58"/>
      <c r="AC9" s="58"/>
    </row>
    <row r="10">
      <c r="A10" s="75">
        <v>7.0</v>
      </c>
      <c r="B10" s="76" t="s">
        <v>33</v>
      </c>
      <c r="C10" s="77">
        <v>1001941.3</v>
      </c>
      <c r="D10" s="77">
        <v>981477.0</v>
      </c>
      <c r="E10" s="1">
        <f>'ม.ค. 69'!E10+D10</f>
        <v>5190555</v>
      </c>
      <c r="F10" s="77">
        <v>872967.0</v>
      </c>
      <c r="G10" s="77">
        <v>43837.42</v>
      </c>
      <c r="H10" s="16">
        <f t="shared" si="2"/>
        <v>64672.58</v>
      </c>
      <c r="I10" s="92">
        <f>'ม.ค. 69'!I10+H10</f>
        <v>474292.71</v>
      </c>
      <c r="J10" s="16">
        <f t="shared" ref="J10:K10" si="8">(H10/D10)*100</f>
        <v>6.589311823</v>
      </c>
      <c r="K10" s="67">
        <f t="shared" si="8"/>
        <v>9.137610718</v>
      </c>
      <c r="L10" s="16"/>
      <c r="M10" s="79" t="s">
        <v>74</v>
      </c>
      <c r="N10" s="79" t="s">
        <v>75</v>
      </c>
      <c r="O10" s="58"/>
      <c r="P10" s="58"/>
      <c r="Q10" s="58"/>
      <c r="R10" s="58"/>
      <c r="S10" s="58">
        <v>114792.58</v>
      </c>
      <c r="T10" s="58">
        <v>10.86244492725098</v>
      </c>
      <c r="U10" s="58">
        <v>9.731825592208079</v>
      </c>
      <c r="V10" s="58"/>
      <c r="W10" s="58"/>
      <c r="X10" s="58"/>
      <c r="Y10" s="58"/>
      <c r="Z10" s="58"/>
      <c r="AA10" s="58"/>
      <c r="AB10" s="58"/>
      <c r="AC10" s="58"/>
    </row>
    <row r="11">
      <c r="A11" s="64">
        <v>8.0</v>
      </c>
      <c r="B11" s="65" t="s">
        <v>34</v>
      </c>
      <c r="C11" s="71">
        <v>1280841.75</v>
      </c>
      <c r="D11" s="71">
        <v>1279080.0</v>
      </c>
      <c r="E11" s="1">
        <f>'ม.ค. 69'!E11+D11</f>
        <v>6711977</v>
      </c>
      <c r="F11" s="71">
        <v>1156861.0</v>
      </c>
      <c r="G11" s="104">
        <v>37853.95</v>
      </c>
      <c r="H11" s="8">
        <f t="shared" si="2"/>
        <v>84365.05</v>
      </c>
      <c r="I11" s="92">
        <f>'ม.ค. 69'!I11+H11</f>
        <v>706464.85</v>
      </c>
      <c r="J11" s="8">
        <f t="shared" ref="J11:K11" si="9">(H11/D11)*100</f>
        <v>6.595760234</v>
      </c>
      <c r="K11" s="67">
        <f t="shared" si="9"/>
        <v>10.5254361</v>
      </c>
      <c r="L11" s="8"/>
      <c r="M11" s="72" t="s">
        <v>127</v>
      </c>
      <c r="N11" s="72" t="s">
        <v>108</v>
      </c>
      <c r="O11" s="58"/>
      <c r="P11" s="58"/>
      <c r="Q11" s="58"/>
      <c r="R11" s="58"/>
      <c r="S11" s="58">
        <v>137930.97</v>
      </c>
      <c r="T11" s="58">
        <v>9.883755442368932</v>
      </c>
      <c r="U11" s="58">
        <v>11.450609131739474</v>
      </c>
      <c r="V11" s="58"/>
      <c r="W11" s="58"/>
      <c r="X11" s="58"/>
      <c r="Y11" s="58"/>
      <c r="Z11" s="58"/>
      <c r="AA11" s="58"/>
      <c r="AB11" s="58"/>
      <c r="AC11" s="58"/>
    </row>
    <row r="12">
      <c r="A12" s="64">
        <v>9.0</v>
      </c>
      <c r="B12" s="65" t="s">
        <v>35</v>
      </c>
      <c r="C12" s="71">
        <v>2752372.0</v>
      </c>
      <c r="D12" s="71">
        <v>2590033.0</v>
      </c>
      <c r="E12" s="1">
        <f>'ม.ค. 69'!E12+D12</f>
        <v>13796308</v>
      </c>
      <c r="F12" s="71">
        <v>1750543.0</v>
      </c>
      <c r="G12" s="71">
        <v>145750.0</v>
      </c>
      <c r="H12" s="8">
        <f t="shared" si="2"/>
        <v>693740</v>
      </c>
      <c r="I12" s="92">
        <f>'ม.ค. 69'!I12+H12</f>
        <v>4104094</v>
      </c>
      <c r="J12" s="8">
        <f t="shared" ref="J12:K12" si="10">(H12/D12)*100</f>
        <v>26.78498691</v>
      </c>
      <c r="K12" s="67">
        <f t="shared" si="10"/>
        <v>29.7477702</v>
      </c>
      <c r="L12" s="8"/>
      <c r="M12" s="72"/>
      <c r="N12" s="72"/>
      <c r="O12" s="58"/>
      <c r="P12" s="58"/>
      <c r="Q12" s="58"/>
      <c r="R12" s="58"/>
      <c r="S12" s="58">
        <v>790180.0</v>
      </c>
      <c r="T12" s="58">
        <v>28.161334101237962</v>
      </c>
      <c r="U12" s="58">
        <v>30.43253891235045</v>
      </c>
      <c r="V12" s="58"/>
      <c r="W12" s="58"/>
      <c r="X12" s="58"/>
      <c r="Y12" s="58"/>
      <c r="Z12" s="58"/>
      <c r="AA12" s="58"/>
      <c r="AB12" s="58"/>
      <c r="AC12" s="58"/>
    </row>
    <row r="13">
      <c r="A13" s="64">
        <v>10.0</v>
      </c>
      <c r="B13" s="65" t="s">
        <v>36</v>
      </c>
      <c r="C13" s="71">
        <v>898098.83</v>
      </c>
      <c r="D13" s="71">
        <v>863460.0</v>
      </c>
      <c r="E13" s="1">
        <f>'ม.ค. 69'!E13+D13</f>
        <v>4217198</v>
      </c>
      <c r="F13" s="100">
        <v>586628.0</v>
      </c>
      <c r="G13" s="91">
        <v>17800.6</v>
      </c>
      <c r="H13" s="8">
        <f t="shared" si="2"/>
        <v>259031.4</v>
      </c>
      <c r="I13" s="92">
        <f>'ม.ค. 69'!I13+H13</f>
        <v>1211635.2</v>
      </c>
      <c r="J13" s="101">
        <f t="shared" ref="J13:K13" si="11">(H13/D13)*100</f>
        <v>29.99923563</v>
      </c>
      <c r="K13" s="67">
        <f t="shared" si="11"/>
        <v>28.73081131</v>
      </c>
      <c r="L13" s="8"/>
      <c r="M13" s="68"/>
      <c r="N13" s="8"/>
      <c r="O13" s="58"/>
      <c r="P13" s="58"/>
      <c r="Q13" s="58"/>
      <c r="R13" s="58"/>
      <c r="S13" s="58">
        <v>265775.0</v>
      </c>
      <c r="T13" s="58">
        <v>28.79609515090118</v>
      </c>
      <c r="U13" s="58">
        <v>28.40424028352841</v>
      </c>
      <c r="V13" s="58"/>
      <c r="W13" s="58"/>
      <c r="X13" s="58"/>
      <c r="Y13" s="58"/>
      <c r="Z13" s="58"/>
      <c r="AA13" s="58"/>
      <c r="AB13" s="58"/>
      <c r="AC13" s="58"/>
    </row>
    <row r="14">
      <c r="A14" s="64">
        <v>11.0</v>
      </c>
      <c r="B14" s="65" t="s">
        <v>37</v>
      </c>
      <c r="C14" s="71">
        <v>1913025.0</v>
      </c>
      <c r="D14" s="71">
        <v>1843835.0</v>
      </c>
      <c r="E14" s="1">
        <f>'ม.ค. 69'!E14+D14</f>
        <v>9607500</v>
      </c>
      <c r="F14" s="100">
        <v>1572709.0</v>
      </c>
      <c r="G14" s="71">
        <v>45687.0</v>
      </c>
      <c r="H14" s="8">
        <f t="shared" si="2"/>
        <v>225439</v>
      </c>
      <c r="I14" s="92">
        <f>'ม.ค. 69'!I14+H14</f>
        <v>1140852</v>
      </c>
      <c r="J14" s="101">
        <f t="shared" ref="J14:K14" si="12">(H14/D14)*100</f>
        <v>12.22663633</v>
      </c>
      <c r="K14" s="67">
        <f t="shared" si="12"/>
        <v>11.87459797</v>
      </c>
      <c r="L14" s="8"/>
      <c r="M14" s="72" t="s">
        <v>80</v>
      </c>
      <c r="N14" s="72"/>
      <c r="O14" s="58"/>
      <c r="P14" s="58"/>
      <c r="Q14" s="58"/>
      <c r="R14" s="58"/>
      <c r="S14" s="58">
        <v>0.0</v>
      </c>
      <c r="T14" s="58" t="e">
        <v>#DIV/0!</v>
      </c>
      <c r="U14" s="58">
        <v>13.124851236103652</v>
      </c>
      <c r="V14" s="58"/>
      <c r="W14" s="58"/>
      <c r="X14" s="58"/>
      <c r="Y14" s="58"/>
      <c r="Z14" s="58"/>
      <c r="AA14" s="58"/>
      <c r="AB14" s="58"/>
      <c r="AC14" s="58"/>
    </row>
    <row r="15">
      <c r="A15" s="64">
        <v>12.0</v>
      </c>
      <c r="B15" s="65" t="s">
        <v>38</v>
      </c>
      <c r="C15" s="71">
        <v>3477127.0</v>
      </c>
      <c r="D15" s="71">
        <v>3401340.0</v>
      </c>
      <c r="E15" s="1">
        <f>'ม.ค. 69'!E15+D15</f>
        <v>17145768</v>
      </c>
      <c r="F15" s="71">
        <v>2415632.0</v>
      </c>
      <c r="G15" s="71">
        <v>106030.0</v>
      </c>
      <c r="H15" s="8">
        <f t="shared" si="2"/>
        <v>879678</v>
      </c>
      <c r="I15" s="92">
        <f>'ม.ค. 69'!I15+H15</f>
        <v>4573705</v>
      </c>
      <c r="J15" s="8">
        <f t="shared" ref="J15:K15" si="13">(H15/D15)*100</f>
        <v>25.86268941</v>
      </c>
      <c r="K15" s="67">
        <f t="shared" si="13"/>
        <v>26.67541635</v>
      </c>
      <c r="L15" s="8"/>
      <c r="M15" s="68"/>
      <c r="N15" s="8"/>
      <c r="O15" s="58"/>
      <c r="P15" s="58"/>
      <c r="Q15" s="58"/>
      <c r="R15" s="58"/>
      <c r="S15" s="58">
        <v>942423.0</v>
      </c>
      <c r="T15" s="58">
        <v>25.807357053213504</v>
      </c>
      <c r="U15" s="58">
        <v>26.876542261344017</v>
      </c>
      <c r="V15" s="58"/>
      <c r="W15" s="58"/>
      <c r="X15" s="58"/>
      <c r="Y15" s="58"/>
      <c r="Z15" s="58"/>
      <c r="AA15" s="58"/>
      <c r="AB15" s="58"/>
      <c r="AC15" s="58"/>
    </row>
    <row r="16">
      <c r="A16" s="64">
        <v>13.0</v>
      </c>
      <c r="B16" s="65" t="s">
        <v>39</v>
      </c>
      <c r="C16" s="71">
        <v>1032622.0</v>
      </c>
      <c r="D16" s="71">
        <v>911096.0</v>
      </c>
      <c r="E16" s="1">
        <f>'ม.ค. 69'!E16+D16</f>
        <v>4400446</v>
      </c>
      <c r="F16" s="71">
        <v>484011.0</v>
      </c>
      <c r="G16" s="71">
        <v>20462.0</v>
      </c>
      <c r="H16" s="8">
        <f t="shared" si="2"/>
        <v>406623</v>
      </c>
      <c r="I16" s="92">
        <f>'ม.ค. 69'!I16+H16</f>
        <v>1910221</v>
      </c>
      <c r="J16" s="8">
        <f t="shared" ref="J16:K16" si="14">(H16/D16)*100</f>
        <v>44.63009386</v>
      </c>
      <c r="K16" s="67">
        <f t="shared" si="14"/>
        <v>43.40971347</v>
      </c>
      <c r="L16" s="8"/>
      <c r="M16" s="72" t="s">
        <v>128</v>
      </c>
      <c r="N16" s="72" t="s">
        <v>129</v>
      </c>
      <c r="O16" s="58"/>
      <c r="P16" s="58"/>
      <c r="Q16" s="58"/>
      <c r="R16" s="58"/>
      <c r="S16" s="58">
        <v>392880.0</v>
      </c>
      <c r="T16" s="58">
        <v>41.87213906222523</v>
      </c>
      <c r="U16" s="58">
        <v>43.09186524710906</v>
      </c>
      <c r="V16" s="58"/>
      <c r="W16" s="58"/>
      <c r="X16" s="58"/>
      <c r="Y16" s="58"/>
      <c r="Z16" s="58"/>
      <c r="AA16" s="58"/>
      <c r="AB16" s="58"/>
      <c r="AC16" s="58"/>
    </row>
    <row r="17">
      <c r="A17" s="64">
        <v>14.0</v>
      </c>
      <c r="B17" s="65" t="s">
        <v>40</v>
      </c>
      <c r="C17" s="71">
        <v>2146734.0</v>
      </c>
      <c r="D17" s="71">
        <v>1827383.0</v>
      </c>
      <c r="E17" s="1">
        <f>'ม.ค. 69'!E17+D17</f>
        <v>9853028.11</v>
      </c>
      <c r="F17" s="94">
        <v>1198717.0</v>
      </c>
      <c r="G17" s="71">
        <v>35222.0</v>
      </c>
      <c r="H17" s="8">
        <f t="shared" si="2"/>
        <v>593444</v>
      </c>
      <c r="I17" s="92">
        <f>'ม.ค. 69'!I17+H17</f>
        <v>3197423.11</v>
      </c>
      <c r="J17" s="8">
        <f t="shared" ref="J17:K17" si="15">(H17/D17)*100</f>
        <v>32.47507501</v>
      </c>
      <c r="K17" s="67">
        <f t="shared" si="15"/>
        <v>32.45117211</v>
      </c>
      <c r="L17" s="8"/>
      <c r="M17" s="72" t="s">
        <v>85</v>
      </c>
      <c r="N17" s="105" t="s">
        <v>86</v>
      </c>
      <c r="O17" s="58"/>
      <c r="P17" s="58"/>
      <c r="Q17" s="58"/>
      <c r="R17" s="58"/>
      <c r="S17" s="58">
        <v>0.0</v>
      </c>
      <c r="T17" s="58" t="e">
        <v>#DIV/0!</v>
      </c>
      <c r="U17" s="58">
        <v>32.53423723723919</v>
      </c>
      <c r="V17" s="58"/>
      <c r="W17" s="58"/>
      <c r="X17" s="58"/>
      <c r="Y17" s="58"/>
      <c r="Z17" s="58"/>
      <c r="AA17" s="58"/>
      <c r="AB17" s="58"/>
      <c r="AC17" s="58"/>
    </row>
    <row r="18">
      <c r="A18" s="64">
        <v>15.0</v>
      </c>
      <c r="B18" s="65" t="s">
        <v>41</v>
      </c>
      <c r="C18" s="95">
        <v>553030.54</v>
      </c>
      <c r="D18" s="95">
        <v>524050.0</v>
      </c>
      <c r="E18" s="1">
        <f>'ม.ค. 69'!E18+D18</f>
        <v>2809187</v>
      </c>
      <c r="F18" s="106">
        <v>248130.0</v>
      </c>
      <c r="G18" s="95">
        <v>7613.56</v>
      </c>
      <c r="H18" s="8">
        <f t="shared" si="2"/>
        <v>268306.44</v>
      </c>
      <c r="I18" s="92">
        <f>'ม.ค. 69'!I18+H18</f>
        <v>1503150</v>
      </c>
      <c r="J18" s="101">
        <f t="shared" ref="J18:K18" si="16">(H18/D18)*100</f>
        <v>51.19863372</v>
      </c>
      <c r="K18" s="67">
        <f t="shared" si="16"/>
        <v>53.50836381</v>
      </c>
      <c r="L18" s="8"/>
      <c r="M18" s="72" t="s">
        <v>87</v>
      </c>
      <c r="N18" s="72" t="s">
        <v>88</v>
      </c>
      <c r="O18" s="58"/>
      <c r="P18" s="58"/>
      <c r="Q18" s="58"/>
      <c r="R18" s="58"/>
      <c r="S18" s="58">
        <v>303360.76</v>
      </c>
      <c r="T18" s="58">
        <v>51.18837870126013</v>
      </c>
      <c r="U18" s="58">
        <v>54.03805373594669</v>
      </c>
      <c r="V18" s="58"/>
      <c r="W18" s="58"/>
      <c r="X18" s="58"/>
      <c r="Y18" s="58"/>
      <c r="Z18" s="58"/>
      <c r="AA18" s="58"/>
      <c r="AB18" s="58"/>
      <c r="AC18" s="58"/>
    </row>
    <row r="19">
      <c r="A19" s="64">
        <v>16.0</v>
      </c>
      <c r="B19" s="65" t="s">
        <v>42</v>
      </c>
      <c r="C19" s="71">
        <v>1436499.0</v>
      </c>
      <c r="D19" s="71">
        <v>1199081.0</v>
      </c>
      <c r="E19" s="1">
        <f>'ม.ค. 69'!E19+D19</f>
        <v>6288188.47</v>
      </c>
      <c r="F19" s="100">
        <v>507060.0</v>
      </c>
      <c r="G19" s="71">
        <v>100.0</v>
      </c>
      <c r="H19" s="8">
        <f t="shared" si="2"/>
        <v>691921</v>
      </c>
      <c r="I19" s="92">
        <f>'ม.ค. 69'!I19+H19</f>
        <v>3684857.47</v>
      </c>
      <c r="J19" s="101">
        <f t="shared" ref="J19:K19" si="17">(H19/D19)*100</f>
        <v>57.70427519</v>
      </c>
      <c r="K19" s="67">
        <f t="shared" si="17"/>
        <v>58.59966646</v>
      </c>
      <c r="L19" s="8"/>
      <c r="M19" s="72" t="s">
        <v>130</v>
      </c>
      <c r="N19" s="105" t="s">
        <v>131</v>
      </c>
      <c r="O19" s="58"/>
      <c r="P19" s="58"/>
      <c r="Q19" s="58"/>
      <c r="R19" s="58"/>
      <c r="S19" s="58">
        <v>712951.0</v>
      </c>
      <c r="T19" s="58">
        <v>55.391441628325076</v>
      </c>
      <c r="U19" s="58">
        <v>58.810636003330465</v>
      </c>
      <c r="V19" s="58"/>
      <c r="W19" s="58"/>
      <c r="X19" s="58"/>
      <c r="Y19" s="58"/>
      <c r="Z19" s="58"/>
      <c r="AA19" s="58"/>
      <c r="AB19" s="58"/>
      <c r="AC19" s="58"/>
    </row>
    <row r="20">
      <c r="A20" s="64">
        <v>17.0</v>
      </c>
      <c r="B20" s="65" t="s">
        <v>43</v>
      </c>
      <c r="C20" s="71">
        <v>168003.0</v>
      </c>
      <c r="D20" s="71">
        <v>148706.0</v>
      </c>
      <c r="E20" s="1">
        <f>'ม.ค. 69'!E20+D20</f>
        <v>790762</v>
      </c>
      <c r="F20" s="100">
        <v>68023.0</v>
      </c>
      <c r="G20" s="71">
        <v>3885.0</v>
      </c>
      <c r="H20" s="8">
        <f t="shared" si="2"/>
        <v>76798</v>
      </c>
      <c r="I20" s="92">
        <f>'ม.ค. 69'!I20+H20</f>
        <v>393912.16</v>
      </c>
      <c r="J20" s="101">
        <f t="shared" ref="J20:K20" si="18">(H20/D20)*100</f>
        <v>51.64418383</v>
      </c>
      <c r="K20" s="67">
        <f t="shared" si="18"/>
        <v>49.81425005</v>
      </c>
      <c r="L20" s="8"/>
      <c r="M20" s="72"/>
      <c r="N20" s="71"/>
      <c r="O20" s="58"/>
      <c r="P20" s="58"/>
      <c r="Q20" s="58"/>
      <c r="R20" s="58"/>
      <c r="S20" s="58">
        <v>100837.0</v>
      </c>
      <c r="T20" s="58">
        <v>58.37298692878562</v>
      </c>
      <c r="U20" s="58">
        <v>49.39042077326589</v>
      </c>
      <c r="V20" s="58"/>
      <c r="W20" s="58"/>
      <c r="X20" s="58"/>
      <c r="Y20" s="58"/>
      <c r="Z20" s="58"/>
      <c r="AA20" s="58"/>
      <c r="AB20" s="58"/>
      <c r="AC20" s="58"/>
    </row>
    <row r="21">
      <c r="A21" s="64">
        <v>18.0</v>
      </c>
      <c r="B21" s="65" t="s">
        <v>44</v>
      </c>
      <c r="C21" s="71">
        <v>610512.12</v>
      </c>
      <c r="D21" s="71">
        <v>520855.38</v>
      </c>
      <c r="E21" s="1">
        <f>'ม.ค. 69'!E21+D21</f>
        <v>2867049.09</v>
      </c>
      <c r="F21" s="100">
        <v>309234.0</v>
      </c>
      <c r="G21" s="71">
        <v>28250.0</v>
      </c>
      <c r="H21" s="8">
        <f t="shared" si="2"/>
        <v>183371.38</v>
      </c>
      <c r="I21" s="92">
        <f>'ม.ค. 69'!I21+H21</f>
        <v>1141318.09</v>
      </c>
      <c r="J21" s="101">
        <f t="shared" ref="J21:K21" si="19">(H21/D21)*100</f>
        <v>35.20581471</v>
      </c>
      <c r="K21" s="67">
        <f t="shared" si="19"/>
        <v>39.8081112</v>
      </c>
      <c r="L21" s="8"/>
      <c r="M21" s="72"/>
      <c r="N21" s="71"/>
      <c r="O21" s="58"/>
      <c r="P21" s="58"/>
      <c r="Q21" s="58"/>
      <c r="R21" s="58"/>
      <c r="S21" s="58">
        <v>232410.14</v>
      </c>
      <c r="T21" s="58">
        <v>38.568014829916336</v>
      </c>
      <c r="U21" s="58">
        <v>40.82982176267108</v>
      </c>
      <c r="V21" s="58"/>
      <c r="W21" s="58"/>
      <c r="X21" s="58"/>
      <c r="Y21" s="58"/>
      <c r="Z21" s="58"/>
      <c r="AA21" s="58"/>
      <c r="AB21" s="58"/>
      <c r="AC21" s="58"/>
    </row>
    <row r="22">
      <c r="A22" s="64">
        <v>19.0</v>
      </c>
      <c r="B22" s="65" t="s">
        <v>45</v>
      </c>
      <c r="C22" s="71">
        <f>120515+61846</f>
        <v>182361</v>
      </c>
      <c r="D22" s="71">
        <v>158194.0</v>
      </c>
      <c r="E22" s="1">
        <f>'ม.ค. 69'!E22+D22</f>
        <v>772747</v>
      </c>
      <c r="F22" s="100">
        <v>119129.0</v>
      </c>
      <c r="G22" s="71">
        <v>8781.0</v>
      </c>
      <c r="H22" s="8">
        <f t="shared" si="2"/>
        <v>30284</v>
      </c>
      <c r="I22" s="92">
        <f>'ม.ค. 69'!I22+H22</f>
        <v>163644.77</v>
      </c>
      <c r="J22" s="101">
        <f t="shared" ref="J22:K22" si="20">(H22/D22)*100</f>
        <v>19.1435832</v>
      </c>
      <c r="K22" s="67">
        <f t="shared" si="20"/>
        <v>21.17701783</v>
      </c>
      <c r="L22" s="8"/>
      <c r="M22" s="82" t="s">
        <v>94</v>
      </c>
      <c r="N22" s="72" t="s">
        <v>132</v>
      </c>
      <c r="O22" s="58"/>
      <c r="P22" s="58"/>
      <c r="Q22" s="58"/>
      <c r="R22" s="58"/>
      <c r="S22" s="58">
        <v>31156.0</v>
      </c>
      <c r="T22" s="58">
        <v>19.89463937933016</v>
      </c>
      <c r="U22" s="58">
        <v>21.700450571390917</v>
      </c>
      <c r="V22" s="58"/>
      <c r="W22" s="58"/>
      <c r="X22" s="58"/>
      <c r="Y22" s="58"/>
      <c r="Z22" s="58"/>
      <c r="AA22" s="58"/>
      <c r="AB22" s="58"/>
      <c r="AC22" s="58"/>
    </row>
    <row r="23">
      <c r="A23" s="64">
        <v>20.0</v>
      </c>
      <c r="B23" s="65" t="s">
        <v>46</v>
      </c>
      <c r="C23" s="71">
        <v>641121.0</v>
      </c>
      <c r="D23" s="71">
        <v>520606.0</v>
      </c>
      <c r="E23" s="1">
        <f>'ม.ค. 69'!E23+D23</f>
        <v>2852541</v>
      </c>
      <c r="F23" s="100">
        <v>363663.0</v>
      </c>
      <c r="G23" s="71">
        <v>24746.25</v>
      </c>
      <c r="H23" s="8">
        <f t="shared" si="2"/>
        <v>132196.75</v>
      </c>
      <c r="I23" s="92">
        <f>'ม.ค. 69'!I23+H23</f>
        <v>1051842.75</v>
      </c>
      <c r="J23" s="101">
        <f t="shared" ref="J23:K23" si="21">(H23/D23)*100</f>
        <v>25.39285948</v>
      </c>
      <c r="K23" s="67">
        <f t="shared" si="21"/>
        <v>36.87388718</v>
      </c>
      <c r="L23" s="8"/>
      <c r="M23" s="72"/>
      <c r="N23" s="72"/>
      <c r="O23" s="58"/>
      <c r="P23" s="58"/>
      <c r="Q23" s="58"/>
      <c r="R23" s="58"/>
      <c r="S23" s="58">
        <v>282243.0</v>
      </c>
      <c r="T23" s="58">
        <v>42.51435130302752</v>
      </c>
      <c r="U23" s="58">
        <v>41.24165394559865</v>
      </c>
      <c r="V23" s="58"/>
      <c r="W23" s="58"/>
      <c r="X23" s="58"/>
      <c r="Y23" s="58"/>
      <c r="Z23" s="58"/>
      <c r="AA23" s="58"/>
      <c r="AB23" s="58"/>
      <c r="AC23" s="58"/>
    </row>
    <row r="24">
      <c r="A24" s="64">
        <v>21.0</v>
      </c>
      <c r="B24" s="65" t="s">
        <v>47</v>
      </c>
      <c r="C24" s="71">
        <v>1648024.0</v>
      </c>
      <c r="D24" s="71">
        <v>1477481.0</v>
      </c>
      <c r="E24" s="1">
        <f>'ม.ค. 69'!E24+D24</f>
        <v>7982710</v>
      </c>
      <c r="F24" s="100">
        <v>833908.0</v>
      </c>
      <c r="G24" s="71">
        <v>36738.0</v>
      </c>
      <c r="H24" s="8">
        <f t="shared" si="2"/>
        <v>606835</v>
      </c>
      <c r="I24" s="1">
        <f>'ม.ค. 69'!I24+H24</f>
        <v>3843093</v>
      </c>
      <c r="J24" s="101">
        <f t="shared" ref="J24:K24" si="22">(H24/D24)*100</f>
        <v>41.07227098</v>
      </c>
      <c r="K24" s="67">
        <f t="shared" si="22"/>
        <v>48.14271093</v>
      </c>
      <c r="L24" s="71" t="s">
        <v>133</v>
      </c>
      <c r="M24" s="72" t="s">
        <v>134</v>
      </c>
      <c r="N24" s="72"/>
      <c r="O24" s="58"/>
      <c r="P24" s="58"/>
      <c r="Q24" s="58"/>
      <c r="R24" s="58"/>
      <c r="S24" s="58">
        <v>0.0</v>
      </c>
      <c r="T24" s="58" t="e">
        <v>#DIV/0!</v>
      </c>
      <c r="U24" s="58">
        <v>50.01612705298628</v>
      </c>
      <c r="V24" s="58"/>
      <c r="W24" s="58"/>
      <c r="X24" s="58"/>
      <c r="Y24" s="58"/>
      <c r="Z24" s="58"/>
      <c r="AA24" s="58"/>
      <c r="AB24" s="58"/>
      <c r="AC24" s="58"/>
    </row>
    <row r="25">
      <c r="A25" s="64">
        <v>22.0</v>
      </c>
      <c r="B25" s="65" t="s">
        <v>48</v>
      </c>
      <c r="C25" s="71">
        <v>525284.0</v>
      </c>
      <c r="D25" s="71">
        <v>515209.0</v>
      </c>
      <c r="E25" s="1">
        <f>'ม.ค. 69'!E25+D25</f>
        <v>2724878</v>
      </c>
      <c r="F25" s="100">
        <v>324181.0</v>
      </c>
      <c r="G25" s="71">
        <v>25001.7</v>
      </c>
      <c r="H25" s="8">
        <f t="shared" si="2"/>
        <v>166026.3</v>
      </c>
      <c r="I25" s="1">
        <f>'ม.ค. 69'!I25+H25</f>
        <v>878390.3</v>
      </c>
      <c r="J25" s="101">
        <f t="shared" ref="J25:K25" si="23">(H25/D25)*100</f>
        <v>32.22503877</v>
      </c>
      <c r="K25" s="67">
        <f t="shared" si="23"/>
        <v>32.23594965</v>
      </c>
      <c r="L25" s="107"/>
      <c r="M25" s="72" t="s">
        <v>98</v>
      </c>
      <c r="N25" s="72" t="s">
        <v>99</v>
      </c>
      <c r="O25" s="108"/>
      <c r="P25" s="108"/>
      <c r="Q25" s="108"/>
      <c r="R25" s="108"/>
      <c r="S25" s="108">
        <v>162032.0</v>
      </c>
      <c r="T25" s="108">
        <v>28.88816781780515</v>
      </c>
      <c r="U25" s="108">
        <v>31.92179462172841</v>
      </c>
      <c r="V25" s="108"/>
      <c r="W25" s="108"/>
      <c r="X25" s="108"/>
      <c r="Y25" s="108"/>
      <c r="Z25" s="108"/>
      <c r="AA25" s="108"/>
      <c r="AB25" s="108"/>
      <c r="AC25" s="108"/>
    </row>
    <row r="26">
      <c r="A26" s="83">
        <v>23.0</v>
      </c>
      <c r="B26" s="84" t="s">
        <v>100</v>
      </c>
      <c r="C26" s="18">
        <f>SUM(C4:C25)</f>
        <v>40889774.7</v>
      </c>
      <c r="D26" s="18">
        <f>sum(D4:D25)</f>
        <v>39291092.23</v>
      </c>
      <c r="E26" s="85">
        <f>SUM(E4:E25)</f>
        <v>204780637</v>
      </c>
      <c r="F26" s="18">
        <f t="shared" ref="F26:H26" si="24">sum(F4:F25)</f>
        <v>28080676</v>
      </c>
      <c r="G26" s="18">
        <f t="shared" si="24"/>
        <v>1466898.83</v>
      </c>
      <c r="H26" s="18">
        <f t="shared" si="24"/>
        <v>9743517.4</v>
      </c>
      <c r="I26" s="18">
        <f>'ม.ค. 69'!I26+H26</f>
        <v>55997716.3</v>
      </c>
      <c r="J26" s="18">
        <f t="shared" ref="J26:K26" si="25">(H26/D26)*100</f>
        <v>24.79828594</v>
      </c>
      <c r="K26" s="18">
        <f t="shared" si="25"/>
        <v>27.34522029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91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/>
      <c r="B28" s="58"/>
      <c r="C28" s="58"/>
      <c r="D28" s="58"/>
      <c r="E28" s="58"/>
      <c r="F28" s="91"/>
      <c r="G28" s="58"/>
      <c r="H28" s="58"/>
      <c r="I28" s="58"/>
      <c r="J28" s="58"/>
      <c r="K28" s="91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/>
      <c r="B29" s="58"/>
      <c r="C29" s="58"/>
      <c r="D29" s="58"/>
      <c r="E29" s="58"/>
      <c r="F29" s="91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/>
      <c r="B30" s="58"/>
      <c r="C30" s="58"/>
      <c r="D30" s="58"/>
      <c r="E30" s="58"/>
      <c r="F30" s="91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/>
      <c r="B31" s="58"/>
      <c r="C31" s="58"/>
      <c r="D31" s="58"/>
      <c r="E31" s="58"/>
      <c r="F31" s="91"/>
      <c r="G31" s="58"/>
      <c r="H31" s="58"/>
      <c r="I31" s="58"/>
      <c r="J31" s="58"/>
      <c r="K31" s="91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/>
      <c r="B32" s="58"/>
      <c r="C32" s="58"/>
      <c r="D32" s="58"/>
      <c r="E32" s="58"/>
      <c r="F32" s="91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/>
      <c r="B33" s="58"/>
      <c r="C33" s="58"/>
      <c r="D33" s="58"/>
      <c r="E33" s="58"/>
      <c r="F33" s="91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/>
      <c r="B34" s="58"/>
      <c r="C34" s="58"/>
      <c r="D34" s="58"/>
      <c r="E34" s="58"/>
      <c r="F34" s="91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/>
      <c r="B35" s="58"/>
      <c r="C35" s="58"/>
      <c r="D35" s="58"/>
      <c r="E35" s="58"/>
      <c r="F35" s="91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/>
      <c r="B36" s="58"/>
      <c r="C36" s="58"/>
      <c r="D36" s="58"/>
      <c r="E36" s="58"/>
      <c r="F36" s="91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/>
      <c r="B37" s="58"/>
      <c r="C37" s="58"/>
      <c r="D37" s="58"/>
      <c r="E37" s="58"/>
      <c r="F37" s="91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/>
      <c r="B38" s="58"/>
      <c r="C38" s="58"/>
      <c r="D38" s="58"/>
      <c r="E38" s="58"/>
      <c r="F38" s="91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/>
      <c r="B39" s="58"/>
      <c r="C39" s="58"/>
      <c r="D39" s="58"/>
      <c r="E39" s="58"/>
      <c r="F39" s="91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/>
      <c r="B40" s="58"/>
      <c r="C40" s="58"/>
      <c r="D40" s="58"/>
      <c r="E40" s="58"/>
      <c r="F40" s="91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/>
      <c r="B41" s="58"/>
      <c r="C41" s="58"/>
      <c r="D41" s="58"/>
      <c r="E41" s="58"/>
      <c r="F41" s="91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/>
      <c r="B42" s="58"/>
      <c r="C42" s="58"/>
      <c r="D42" s="58"/>
      <c r="E42" s="58"/>
      <c r="F42" s="91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/>
      <c r="B43" s="58"/>
      <c r="C43" s="58"/>
      <c r="D43" s="58"/>
      <c r="E43" s="58"/>
      <c r="F43" s="91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/>
      <c r="B44" s="58"/>
      <c r="C44" s="58"/>
      <c r="D44" s="58"/>
      <c r="E44" s="58"/>
      <c r="F44" s="91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/>
      <c r="B45" s="58"/>
      <c r="C45" s="58"/>
      <c r="D45" s="58"/>
      <c r="E45" s="58"/>
      <c r="F45" s="91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/>
      <c r="B46" s="58"/>
      <c r="C46" s="58"/>
      <c r="D46" s="58"/>
      <c r="E46" s="58"/>
      <c r="F46" s="91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/>
      <c r="B47" s="58"/>
      <c r="C47" s="58"/>
      <c r="D47" s="58"/>
      <c r="E47" s="58"/>
      <c r="F47" s="91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/>
      <c r="B48" s="58"/>
      <c r="C48" s="58"/>
      <c r="D48" s="58"/>
      <c r="E48" s="58"/>
      <c r="F48" s="91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/>
      <c r="B49" s="58"/>
      <c r="C49" s="58"/>
      <c r="D49" s="58"/>
      <c r="E49" s="58"/>
      <c r="F49" s="91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2:G1000">
    <cfRule type="cellIs" dxfId="1" priority="1" operator="greaterThan">
      <formula>100000</formula>
    </cfRule>
  </conditionalFormatting>
  <printOptions gridLines="1" horizont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1" max="1" width="4.44"/>
    <col customWidth="1" min="3" max="3" width="15.44"/>
    <col customWidth="1" min="4" max="4" width="19.22"/>
    <col customWidth="1" min="5" max="5" width="24.33"/>
    <col customWidth="1" min="6" max="6" width="15.33"/>
    <col customWidth="1" min="7" max="8" width="17.67"/>
    <col customWidth="1" min="9" max="9" width="20.22"/>
    <col customWidth="1" min="11" max="11" width="15.44"/>
    <col customWidth="1" min="12" max="12" width="25.44"/>
    <col customWidth="1" min="13" max="13" width="23.11"/>
    <col customWidth="1" min="14" max="14" width="16.0"/>
  </cols>
  <sheetData>
    <row r="1" ht="27.75" customHeight="1">
      <c r="A1" s="57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42.75" customHeight="1">
      <c r="A2" s="63" t="s">
        <v>52</v>
      </c>
      <c r="B2" s="63" t="s">
        <v>53</v>
      </c>
      <c r="C2" s="96" t="s">
        <v>54</v>
      </c>
      <c r="D2" s="96" t="s">
        <v>55</v>
      </c>
      <c r="E2" s="97" t="s">
        <v>102</v>
      </c>
      <c r="F2" s="97" t="s">
        <v>135</v>
      </c>
      <c r="G2" s="97" t="s">
        <v>136</v>
      </c>
      <c r="H2" s="98" t="s">
        <v>58</v>
      </c>
      <c r="I2" s="4"/>
      <c r="J2" s="4"/>
      <c r="K2" s="5"/>
      <c r="L2" s="63" t="s">
        <v>59</v>
      </c>
      <c r="M2" s="63" t="s">
        <v>60</v>
      </c>
      <c r="N2" s="63" t="s">
        <v>61</v>
      </c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ht="32.25" customHeight="1">
      <c r="A3" s="34"/>
      <c r="B3" s="34"/>
      <c r="C3" s="96" t="s">
        <v>62</v>
      </c>
      <c r="D3" s="96" t="s">
        <v>62</v>
      </c>
      <c r="E3" s="96" t="s">
        <v>62</v>
      </c>
      <c r="F3" s="96" t="s">
        <v>62</v>
      </c>
      <c r="G3" s="96" t="s">
        <v>62</v>
      </c>
      <c r="H3" s="96" t="s">
        <v>63</v>
      </c>
      <c r="I3" s="97" t="s">
        <v>103</v>
      </c>
      <c r="J3" s="96" t="s">
        <v>64</v>
      </c>
      <c r="K3" s="97" t="s">
        <v>104</v>
      </c>
      <c r="L3" s="34"/>
      <c r="M3" s="34"/>
      <c r="N3" s="34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</row>
    <row r="4">
      <c r="A4" s="64">
        <f t="array" ref="A4:A25">SEQUENCE(22,1)</f>
        <v>1</v>
      </c>
      <c r="B4" s="65" t="s">
        <v>27</v>
      </c>
      <c r="C4" s="69"/>
      <c r="D4" s="69"/>
      <c r="E4" s="1">
        <f>'ม.ค. 69'!E4+'ก.พ. 69'!D4+D4</f>
        <v>25566978</v>
      </c>
      <c r="F4" s="69"/>
      <c r="G4" s="70"/>
      <c r="H4" s="1">
        <f t="shared" ref="H4:H25" si="2">D4-F4-G4</f>
        <v>0</v>
      </c>
      <c r="I4" s="92">
        <f>'ก.พ. 69'!I4+H4</f>
        <v>5512044.36</v>
      </c>
      <c r="J4" s="109" t="str">
        <f t="shared" ref="J4:K4" si="1">(H4/D4)*100</f>
        <v>#DIV/0!</v>
      </c>
      <c r="K4" s="67">
        <f t="shared" si="1"/>
        <v>21.55923301</v>
      </c>
      <c r="L4" s="8"/>
      <c r="M4" s="68" t="s">
        <v>65</v>
      </c>
      <c r="N4" s="68" t="s">
        <v>66</v>
      </c>
      <c r="O4" s="58"/>
      <c r="P4" s="58"/>
      <c r="Q4" s="58"/>
      <c r="R4" s="58"/>
      <c r="S4" s="58">
        <v>1580443.5</v>
      </c>
      <c r="T4" s="58">
        <v>29.40489928624753</v>
      </c>
      <c r="U4" s="58">
        <v>23.49759778555391</v>
      </c>
      <c r="V4" s="58"/>
      <c r="W4" s="58"/>
      <c r="X4" s="58"/>
      <c r="Y4" s="58"/>
      <c r="Z4" s="58"/>
      <c r="AA4" s="58"/>
      <c r="AB4" s="58"/>
      <c r="AC4" s="58"/>
    </row>
    <row r="5">
      <c r="A5" s="64">
        <v>2.0</v>
      </c>
      <c r="B5" s="65" t="s">
        <v>28</v>
      </c>
      <c r="C5" s="69"/>
      <c r="D5" s="69"/>
      <c r="E5" s="1">
        <f>'ม.ค. 69'!E5+'ก.พ. 69'!D5+D5</f>
        <v>31792798.16</v>
      </c>
      <c r="F5" s="69"/>
      <c r="G5" s="70"/>
      <c r="H5" s="8">
        <f t="shared" si="2"/>
        <v>0</v>
      </c>
      <c r="I5" s="92">
        <f>'ก.พ. 69'!I5+H5</f>
        <v>6527199.03</v>
      </c>
      <c r="J5" s="8" t="str">
        <f t="shared" ref="J5:K5" si="3">(H5/D5)*100</f>
        <v>#DIV/0!</v>
      </c>
      <c r="K5" s="67">
        <f t="shared" si="3"/>
        <v>20.5304327</v>
      </c>
      <c r="L5" s="8"/>
      <c r="M5" s="72" t="s">
        <v>126</v>
      </c>
      <c r="N5" s="72" t="s">
        <v>68</v>
      </c>
      <c r="O5" s="58"/>
      <c r="P5" s="58"/>
      <c r="Q5" s="58"/>
      <c r="R5" s="58"/>
      <c r="S5" s="58">
        <v>0.0</v>
      </c>
      <c r="T5" s="58" t="e">
        <v>#DIV/0!</v>
      </c>
      <c r="U5" s="58">
        <v>21.941474216697994</v>
      </c>
      <c r="V5" s="58"/>
      <c r="W5" s="58"/>
      <c r="X5" s="58"/>
      <c r="Y5" s="58"/>
      <c r="Z5" s="58"/>
      <c r="AA5" s="58"/>
      <c r="AB5" s="58"/>
      <c r="AC5" s="58"/>
    </row>
    <row r="6">
      <c r="A6" s="64">
        <v>3.0</v>
      </c>
      <c r="B6" s="65" t="s">
        <v>29</v>
      </c>
      <c r="C6" s="69"/>
      <c r="D6" s="69"/>
      <c r="E6" s="1">
        <f>'ม.ค. 69'!E6+'ก.พ. 69'!D6+D6</f>
        <v>10209574.5</v>
      </c>
      <c r="F6" s="69"/>
      <c r="G6" s="70"/>
      <c r="H6" s="8">
        <f t="shared" si="2"/>
        <v>0</v>
      </c>
      <c r="I6" s="92">
        <f>'ก.พ. 69'!I6+H6</f>
        <v>3173736.46</v>
      </c>
      <c r="J6" s="8" t="str">
        <f t="shared" ref="J6:K6" si="4">(H6/D6)*100</f>
        <v>#DIV/0!</v>
      </c>
      <c r="K6" s="67">
        <f t="shared" si="4"/>
        <v>31.08588375</v>
      </c>
      <c r="L6" s="8"/>
      <c r="M6" s="68"/>
      <c r="N6" s="8"/>
      <c r="O6" s="58"/>
      <c r="P6" s="58"/>
      <c r="Q6" s="58"/>
      <c r="R6" s="58"/>
      <c r="S6" s="58">
        <v>590207.61</v>
      </c>
      <c r="T6" s="58">
        <v>28.591624389765375</v>
      </c>
      <c r="U6" s="58">
        <v>31.63699021990875</v>
      </c>
      <c r="V6" s="58"/>
      <c r="W6" s="58"/>
      <c r="X6" s="58"/>
      <c r="Y6" s="58"/>
      <c r="Z6" s="58"/>
      <c r="AA6" s="58"/>
      <c r="AB6" s="58"/>
      <c r="AC6" s="58"/>
    </row>
    <row r="7">
      <c r="A7" s="64">
        <v>4.0</v>
      </c>
      <c r="B7" s="65" t="s">
        <v>30</v>
      </c>
      <c r="C7" s="69">
        <v>2597489.0</v>
      </c>
      <c r="D7" s="69">
        <v>2355264.0</v>
      </c>
      <c r="E7" s="1">
        <f>'ม.ค. 69'!E7+'ก.พ. 69'!D7+D7</f>
        <v>14137993</v>
      </c>
      <c r="F7" s="69">
        <v>1739490.0</v>
      </c>
      <c r="G7" s="70">
        <v>75625.0</v>
      </c>
      <c r="H7" s="8">
        <f t="shared" si="2"/>
        <v>540149</v>
      </c>
      <c r="I7" s="92">
        <f>'ก.พ. 69'!I7+H7</f>
        <v>3383346.35</v>
      </c>
      <c r="J7" s="8">
        <f t="shared" ref="J7:K7" si="5">(H7/D7)*100</f>
        <v>22.93369236</v>
      </c>
      <c r="K7" s="67">
        <f t="shared" si="5"/>
        <v>23.93088149</v>
      </c>
      <c r="L7" s="8"/>
      <c r="M7" s="72" t="s">
        <v>69</v>
      </c>
      <c r="N7" s="72" t="s">
        <v>70</v>
      </c>
      <c r="O7" s="58"/>
      <c r="P7" s="58"/>
      <c r="Q7" s="58"/>
      <c r="R7" s="58"/>
      <c r="S7" s="58">
        <v>444187.0</v>
      </c>
      <c r="T7" s="58">
        <v>19.648354059370554</v>
      </c>
      <c r="U7" s="58">
        <v>23.132383966301383</v>
      </c>
      <c r="V7" s="58"/>
      <c r="W7" s="58"/>
      <c r="X7" s="58"/>
      <c r="Y7" s="58"/>
      <c r="Z7" s="58"/>
      <c r="AA7" s="58"/>
      <c r="AB7" s="58"/>
      <c r="AC7" s="58"/>
    </row>
    <row r="8">
      <c r="A8" s="64">
        <v>5.0</v>
      </c>
      <c r="B8" s="65" t="s">
        <v>31</v>
      </c>
      <c r="C8" s="69"/>
      <c r="D8" s="69"/>
      <c r="E8" s="1">
        <f>'ม.ค. 69'!E8+'ก.พ. 69'!D8+D8</f>
        <v>13412862.25</v>
      </c>
      <c r="F8" s="69"/>
      <c r="G8" s="70"/>
      <c r="H8" s="8">
        <f t="shared" si="2"/>
        <v>0</v>
      </c>
      <c r="I8" s="92">
        <f>'ก.พ. 69'!I8+H8</f>
        <v>4489481.25</v>
      </c>
      <c r="J8" s="8" t="str">
        <f t="shared" ref="J8:K8" si="6">(H8/D8)*100</f>
        <v>#DIV/0!</v>
      </c>
      <c r="K8" s="67">
        <f t="shared" si="6"/>
        <v>33.47146318</v>
      </c>
      <c r="L8" s="8"/>
      <c r="M8" s="72" t="s">
        <v>71</v>
      </c>
      <c r="N8" s="72" t="s">
        <v>112</v>
      </c>
      <c r="O8" s="58"/>
      <c r="P8" s="58"/>
      <c r="Q8" s="58"/>
      <c r="R8" s="58"/>
      <c r="S8" s="58">
        <v>866772.9900000002</v>
      </c>
      <c r="T8" s="58">
        <v>30.68249050852996</v>
      </c>
      <c r="U8" s="58">
        <v>34.674913611552235</v>
      </c>
      <c r="V8" s="58"/>
      <c r="W8" s="58"/>
      <c r="X8" s="58"/>
      <c r="Y8" s="58"/>
      <c r="Z8" s="58"/>
      <c r="AA8" s="58"/>
      <c r="AB8" s="58"/>
      <c r="AC8" s="58"/>
    </row>
    <row r="9" ht="21.0" customHeight="1">
      <c r="A9" s="64">
        <v>6.0</v>
      </c>
      <c r="B9" s="65" t="s">
        <v>32</v>
      </c>
      <c r="C9" s="69"/>
      <c r="D9" s="69"/>
      <c r="E9" s="1">
        <f>'ม.ค. 69'!E9+'ก.พ. 69'!D9+D9</f>
        <v>14004852.44</v>
      </c>
      <c r="F9" s="69"/>
      <c r="G9" s="70"/>
      <c r="H9" s="8">
        <f t="shared" si="2"/>
        <v>0</v>
      </c>
      <c r="I9" s="92">
        <f>'ก.พ. 69'!I9+H9</f>
        <v>3473161.44</v>
      </c>
      <c r="J9" s="8" t="str">
        <f t="shared" ref="J9:K9" si="7">(H9/D9)*100</f>
        <v>#DIV/0!</v>
      </c>
      <c r="K9" s="67">
        <f t="shared" si="7"/>
        <v>24.79970035</v>
      </c>
      <c r="L9" s="8"/>
      <c r="M9" s="72" t="s">
        <v>72</v>
      </c>
      <c r="N9" s="72" t="s">
        <v>73</v>
      </c>
      <c r="O9" s="58"/>
      <c r="P9" s="58"/>
      <c r="Q9" s="58"/>
      <c r="R9" s="58"/>
      <c r="S9" s="58">
        <v>699984.0</v>
      </c>
      <c r="T9" s="58">
        <v>24.373788246829942</v>
      </c>
      <c r="U9" s="58">
        <v>26.147133712095332</v>
      </c>
      <c r="V9" s="58"/>
      <c r="W9" s="58"/>
      <c r="X9" s="58"/>
      <c r="Y9" s="58"/>
      <c r="Z9" s="58"/>
      <c r="AA9" s="58"/>
      <c r="AB9" s="58"/>
      <c r="AC9" s="58"/>
    </row>
    <row r="10">
      <c r="A10" s="75">
        <v>7.0</v>
      </c>
      <c r="B10" s="76" t="s">
        <v>33</v>
      </c>
      <c r="C10" s="69"/>
      <c r="D10" s="69"/>
      <c r="E10" s="1">
        <f>'ม.ค. 69'!E10+'ก.พ. 69'!D10+D10</f>
        <v>5190555</v>
      </c>
      <c r="F10" s="69"/>
      <c r="G10" s="70"/>
      <c r="H10" s="16">
        <f t="shared" si="2"/>
        <v>0</v>
      </c>
      <c r="I10" s="92">
        <f>'ก.พ. 69'!I10+H10</f>
        <v>474292.71</v>
      </c>
      <c r="J10" s="16" t="str">
        <f t="shared" ref="J10:K10" si="8">(H10/D10)*100</f>
        <v>#DIV/0!</v>
      </c>
      <c r="K10" s="67">
        <f t="shared" si="8"/>
        <v>9.137610718</v>
      </c>
      <c r="L10" s="16"/>
      <c r="M10" s="79" t="s">
        <v>74</v>
      </c>
      <c r="N10" s="79" t="s">
        <v>75</v>
      </c>
      <c r="O10" s="58"/>
      <c r="P10" s="58"/>
      <c r="Q10" s="58"/>
      <c r="R10" s="58"/>
      <c r="S10" s="58">
        <v>114792.58</v>
      </c>
      <c r="T10" s="58">
        <v>10.86244492725098</v>
      </c>
      <c r="U10" s="58">
        <v>9.731825592208079</v>
      </c>
      <c r="V10" s="58"/>
      <c r="W10" s="58"/>
      <c r="X10" s="58"/>
      <c r="Y10" s="58"/>
      <c r="Z10" s="58"/>
      <c r="AA10" s="58"/>
      <c r="AB10" s="58"/>
      <c r="AC10" s="58"/>
    </row>
    <row r="11">
      <c r="A11" s="64">
        <v>8.0</v>
      </c>
      <c r="B11" s="65" t="s">
        <v>34</v>
      </c>
      <c r="C11" s="69"/>
      <c r="D11" s="69"/>
      <c r="E11" s="1">
        <f>'ม.ค. 69'!E11+'ก.พ. 69'!D11+D11</f>
        <v>6711977</v>
      </c>
      <c r="F11" s="69"/>
      <c r="G11" s="70"/>
      <c r="H11" s="8">
        <f t="shared" si="2"/>
        <v>0</v>
      </c>
      <c r="I11" s="92">
        <f>'ก.พ. 69'!I11+H11</f>
        <v>706464.85</v>
      </c>
      <c r="J11" s="8" t="str">
        <f t="shared" ref="J11:K11" si="9">(H11/D11)*100</f>
        <v>#DIV/0!</v>
      </c>
      <c r="K11" s="67">
        <f t="shared" si="9"/>
        <v>10.5254361</v>
      </c>
      <c r="L11" s="8"/>
      <c r="M11" s="72" t="s">
        <v>127</v>
      </c>
      <c r="N11" s="72" t="s">
        <v>108</v>
      </c>
      <c r="O11" s="58"/>
      <c r="P11" s="58"/>
      <c r="Q11" s="58"/>
      <c r="R11" s="58"/>
      <c r="S11" s="58">
        <v>137930.97</v>
      </c>
      <c r="T11" s="58">
        <v>9.883755442368932</v>
      </c>
      <c r="U11" s="58">
        <v>11.450609131739474</v>
      </c>
      <c r="V11" s="58"/>
      <c r="W11" s="58"/>
      <c r="X11" s="58"/>
      <c r="Y11" s="58"/>
      <c r="Z11" s="58"/>
      <c r="AA11" s="58"/>
      <c r="AB11" s="58"/>
      <c r="AC11" s="58"/>
    </row>
    <row r="12">
      <c r="A12" s="64">
        <v>9.0</v>
      </c>
      <c r="B12" s="65" t="s">
        <v>35</v>
      </c>
      <c r="C12" s="69"/>
      <c r="D12" s="69"/>
      <c r="E12" s="1">
        <f>'ม.ค. 69'!E12+'ก.พ. 69'!D12+D12</f>
        <v>13796308</v>
      </c>
      <c r="F12" s="69"/>
      <c r="G12" s="70"/>
      <c r="H12" s="8">
        <f t="shared" si="2"/>
        <v>0</v>
      </c>
      <c r="I12" s="92">
        <f>'ก.พ. 69'!I12+H12</f>
        <v>4104094</v>
      </c>
      <c r="J12" s="8" t="str">
        <f t="shared" ref="J12:K12" si="10">(H12/D12)*100</f>
        <v>#DIV/0!</v>
      </c>
      <c r="K12" s="67">
        <f t="shared" si="10"/>
        <v>29.7477702</v>
      </c>
      <c r="L12" s="8"/>
      <c r="M12" s="72"/>
      <c r="N12" s="72"/>
      <c r="O12" s="58"/>
      <c r="P12" s="58"/>
      <c r="Q12" s="58"/>
      <c r="R12" s="58"/>
      <c r="S12" s="58">
        <v>790180.0</v>
      </c>
      <c r="T12" s="58">
        <v>28.161334101237962</v>
      </c>
      <c r="U12" s="58">
        <v>30.43253891235045</v>
      </c>
      <c r="V12" s="58"/>
      <c r="W12" s="58"/>
      <c r="X12" s="58"/>
      <c r="Y12" s="58"/>
      <c r="Z12" s="58"/>
      <c r="AA12" s="58"/>
      <c r="AB12" s="58"/>
      <c r="AC12" s="58"/>
    </row>
    <row r="13">
      <c r="A13" s="64">
        <v>10.0</v>
      </c>
      <c r="B13" s="65" t="s">
        <v>36</v>
      </c>
      <c r="C13" s="69"/>
      <c r="D13" s="69"/>
      <c r="E13" s="1">
        <f>'ม.ค. 69'!E13+'ก.พ. 69'!D13+D13</f>
        <v>4217198</v>
      </c>
      <c r="F13" s="69"/>
      <c r="G13" s="70"/>
      <c r="H13" s="8">
        <f t="shared" si="2"/>
        <v>0</v>
      </c>
      <c r="I13" s="92">
        <f>'ก.พ. 69'!I13+H13</f>
        <v>1211635.2</v>
      </c>
      <c r="J13" s="8" t="str">
        <f t="shared" ref="J13:K13" si="11">(H13/D13)*100</f>
        <v>#DIV/0!</v>
      </c>
      <c r="K13" s="67">
        <f t="shared" si="11"/>
        <v>28.73081131</v>
      </c>
      <c r="L13" s="8"/>
      <c r="M13" s="68"/>
      <c r="N13" s="8"/>
      <c r="O13" s="58"/>
      <c r="P13" s="58"/>
      <c r="Q13" s="58"/>
      <c r="R13" s="58"/>
      <c r="S13" s="58">
        <v>265775.0</v>
      </c>
      <c r="T13" s="58">
        <v>28.79609515090118</v>
      </c>
      <c r="U13" s="58">
        <v>28.40424028352841</v>
      </c>
      <c r="V13" s="58"/>
      <c r="W13" s="58"/>
      <c r="X13" s="58"/>
      <c r="Y13" s="58"/>
      <c r="Z13" s="58"/>
      <c r="AA13" s="58"/>
      <c r="AB13" s="58"/>
      <c r="AC13" s="58"/>
    </row>
    <row r="14">
      <c r="A14" s="64">
        <v>11.0</v>
      </c>
      <c r="B14" s="65" t="s">
        <v>37</v>
      </c>
      <c r="C14" s="69"/>
      <c r="D14" s="69"/>
      <c r="E14" s="1">
        <f>'ม.ค. 69'!E14+'ก.พ. 69'!D14+D14</f>
        <v>9607500</v>
      </c>
      <c r="F14" s="69"/>
      <c r="G14" s="70"/>
      <c r="H14" s="8">
        <f t="shared" si="2"/>
        <v>0</v>
      </c>
      <c r="I14" s="92">
        <f>'ก.พ. 69'!I14+H14</f>
        <v>1140852</v>
      </c>
      <c r="J14" s="8" t="str">
        <f t="shared" ref="J14:K14" si="12">(H14/D14)*100</f>
        <v>#DIV/0!</v>
      </c>
      <c r="K14" s="67">
        <f t="shared" si="12"/>
        <v>11.87459797</v>
      </c>
      <c r="L14" s="8"/>
      <c r="M14" s="72" t="s">
        <v>80</v>
      </c>
      <c r="N14" s="72"/>
      <c r="O14" s="58"/>
      <c r="P14" s="58"/>
      <c r="Q14" s="58"/>
      <c r="R14" s="58"/>
      <c r="S14" s="58">
        <v>0.0</v>
      </c>
      <c r="T14" s="58" t="e">
        <v>#DIV/0!</v>
      </c>
      <c r="U14" s="58">
        <v>13.124851236103652</v>
      </c>
      <c r="V14" s="58"/>
      <c r="W14" s="58"/>
      <c r="X14" s="58"/>
      <c r="Y14" s="58"/>
      <c r="Z14" s="58"/>
      <c r="AA14" s="58"/>
      <c r="AB14" s="58"/>
      <c r="AC14" s="58"/>
    </row>
    <row r="15">
      <c r="A15" s="64">
        <v>12.0</v>
      </c>
      <c r="B15" s="65" t="s">
        <v>38</v>
      </c>
      <c r="C15" s="69"/>
      <c r="D15" s="69"/>
      <c r="E15" s="1">
        <f>'ม.ค. 69'!E15+'ก.พ. 69'!D15+D15</f>
        <v>17145768</v>
      </c>
      <c r="F15" s="69"/>
      <c r="G15" s="70"/>
      <c r="H15" s="8">
        <f t="shared" si="2"/>
        <v>0</v>
      </c>
      <c r="I15" s="92">
        <f>'ก.พ. 69'!I15+H15</f>
        <v>4573705</v>
      </c>
      <c r="J15" s="8" t="str">
        <f t="shared" ref="J15:K15" si="13">(H15/D15)*100</f>
        <v>#DIV/0!</v>
      </c>
      <c r="K15" s="67">
        <f t="shared" si="13"/>
        <v>26.67541635</v>
      </c>
      <c r="L15" s="8"/>
      <c r="M15" s="68"/>
      <c r="N15" s="8"/>
      <c r="O15" s="58"/>
      <c r="P15" s="58"/>
      <c r="Q15" s="58"/>
      <c r="R15" s="58"/>
      <c r="S15" s="58">
        <v>942423.0</v>
      </c>
      <c r="T15" s="58">
        <v>25.807357053213504</v>
      </c>
      <c r="U15" s="58">
        <v>26.876542261344017</v>
      </c>
      <c r="V15" s="58"/>
      <c r="W15" s="58"/>
      <c r="X15" s="58"/>
      <c r="Y15" s="58"/>
      <c r="Z15" s="58"/>
      <c r="AA15" s="58"/>
      <c r="AB15" s="58"/>
      <c r="AC15" s="58"/>
    </row>
    <row r="16">
      <c r="A16" s="64">
        <v>13.0</v>
      </c>
      <c r="B16" s="65" t="s">
        <v>39</v>
      </c>
      <c r="C16" s="69"/>
      <c r="D16" s="69"/>
      <c r="E16" s="1">
        <f>'ม.ค. 69'!E16+'ก.พ. 69'!D16+D16</f>
        <v>4400446</v>
      </c>
      <c r="F16" s="69"/>
      <c r="G16" s="70"/>
      <c r="H16" s="8">
        <f t="shared" si="2"/>
        <v>0</v>
      </c>
      <c r="I16" s="92">
        <f>'ก.พ. 69'!I16+H16</f>
        <v>1910221</v>
      </c>
      <c r="J16" s="8" t="str">
        <f t="shared" ref="J16:K16" si="14">(H16/D16)*100</f>
        <v>#DIV/0!</v>
      </c>
      <c r="K16" s="67">
        <f t="shared" si="14"/>
        <v>43.40971347</v>
      </c>
      <c r="L16" s="8"/>
      <c r="M16" s="72" t="s">
        <v>128</v>
      </c>
      <c r="N16" s="72" t="s">
        <v>129</v>
      </c>
      <c r="O16" s="58"/>
      <c r="P16" s="58"/>
      <c r="Q16" s="58"/>
      <c r="R16" s="58"/>
      <c r="S16" s="58">
        <v>392880.0</v>
      </c>
      <c r="T16" s="58">
        <v>41.87213906222523</v>
      </c>
      <c r="U16" s="58">
        <v>43.09186524710906</v>
      </c>
      <c r="V16" s="58"/>
      <c r="W16" s="58"/>
      <c r="X16" s="58"/>
      <c r="Y16" s="58"/>
      <c r="Z16" s="58"/>
      <c r="AA16" s="58"/>
      <c r="AB16" s="58"/>
      <c r="AC16" s="58"/>
    </row>
    <row r="17">
      <c r="A17" s="64">
        <v>14.0</v>
      </c>
      <c r="B17" s="65" t="s">
        <v>40</v>
      </c>
      <c r="C17" s="69"/>
      <c r="D17" s="69"/>
      <c r="E17" s="1">
        <f>'ม.ค. 69'!E17+'ก.พ. 69'!D17+D17</f>
        <v>9853028.11</v>
      </c>
      <c r="F17" s="69"/>
      <c r="G17" s="70"/>
      <c r="H17" s="8">
        <f t="shared" si="2"/>
        <v>0</v>
      </c>
      <c r="I17" s="92">
        <f>'ก.พ. 69'!I17+H17</f>
        <v>3197423.11</v>
      </c>
      <c r="J17" s="8" t="str">
        <f t="shared" ref="J17:K17" si="15">(H17/D17)*100</f>
        <v>#DIV/0!</v>
      </c>
      <c r="K17" s="67">
        <f t="shared" si="15"/>
        <v>32.45117211</v>
      </c>
      <c r="L17" s="8"/>
      <c r="M17" s="72" t="s">
        <v>85</v>
      </c>
      <c r="N17" s="105" t="s">
        <v>86</v>
      </c>
      <c r="O17" s="58"/>
      <c r="P17" s="58"/>
      <c r="Q17" s="58"/>
      <c r="R17" s="58"/>
      <c r="S17" s="58">
        <v>0.0</v>
      </c>
      <c r="T17" s="58" t="e">
        <v>#DIV/0!</v>
      </c>
      <c r="U17" s="58">
        <v>32.53423723723919</v>
      </c>
      <c r="V17" s="58"/>
      <c r="W17" s="58"/>
      <c r="X17" s="58"/>
      <c r="Y17" s="58"/>
      <c r="Z17" s="58"/>
      <c r="AA17" s="58"/>
      <c r="AB17" s="58"/>
      <c r="AC17" s="58"/>
    </row>
    <row r="18">
      <c r="A18" s="64">
        <v>15.0</v>
      </c>
      <c r="B18" s="65" t="s">
        <v>41</v>
      </c>
      <c r="C18" s="69">
        <v>585374.71</v>
      </c>
      <c r="D18" s="69">
        <v>576537.0</v>
      </c>
      <c r="E18" s="1">
        <f>'ม.ค. 69'!E18+'ก.พ. 69'!D18+D18</f>
        <v>3385724</v>
      </c>
      <c r="F18" s="69">
        <v>248130.0</v>
      </c>
      <c r="G18" s="70">
        <v>14089.92</v>
      </c>
      <c r="H18" s="8">
        <f t="shared" si="2"/>
        <v>314317.08</v>
      </c>
      <c r="I18" s="92">
        <f>'ก.พ. 69'!I18+H18</f>
        <v>1817467.08</v>
      </c>
      <c r="J18" s="8">
        <f t="shared" ref="J18:K18" si="16">(H18/D18)*100</f>
        <v>54.51811072</v>
      </c>
      <c r="K18" s="67">
        <f t="shared" si="16"/>
        <v>53.68030826</v>
      </c>
      <c r="L18" s="8"/>
      <c r="M18" s="72" t="s">
        <v>87</v>
      </c>
      <c r="N18" s="72" t="s">
        <v>88</v>
      </c>
      <c r="O18" s="58"/>
      <c r="P18" s="58"/>
      <c r="Q18" s="58"/>
      <c r="R18" s="58"/>
      <c r="S18" s="58">
        <v>303360.76</v>
      </c>
      <c r="T18" s="58">
        <v>51.18837870126013</v>
      </c>
      <c r="U18" s="58">
        <v>54.03805373594669</v>
      </c>
      <c r="V18" s="58"/>
      <c r="W18" s="58"/>
      <c r="X18" s="58"/>
      <c r="Y18" s="58"/>
      <c r="Z18" s="58"/>
      <c r="AA18" s="58"/>
      <c r="AB18" s="58"/>
      <c r="AC18" s="58"/>
    </row>
    <row r="19">
      <c r="A19" s="64">
        <v>16.0</v>
      </c>
      <c r="B19" s="65" t="s">
        <v>42</v>
      </c>
      <c r="C19" s="69">
        <v>1384037.67</v>
      </c>
      <c r="D19" s="69">
        <v>1264792.29</v>
      </c>
      <c r="E19" s="1">
        <f>'ม.ค. 69'!E19+'ก.พ. 69'!D19+D19</f>
        <v>7552980.76</v>
      </c>
      <c r="F19" s="69">
        <v>507027.0</v>
      </c>
      <c r="G19" s="70">
        <v>3159.0</v>
      </c>
      <c r="H19" s="8">
        <f t="shared" si="2"/>
        <v>754606.29</v>
      </c>
      <c r="I19" s="92">
        <f>'ก.พ. 69'!I19+H19</f>
        <v>4439463.76</v>
      </c>
      <c r="J19" s="8">
        <f t="shared" ref="J19:K19" si="17">(H19/D19)*100</f>
        <v>59.66246758</v>
      </c>
      <c r="K19" s="67">
        <f t="shared" si="17"/>
        <v>58.77763894</v>
      </c>
      <c r="L19" s="8"/>
      <c r="M19" s="72" t="s">
        <v>114</v>
      </c>
      <c r="N19" s="110" t="s">
        <v>137</v>
      </c>
      <c r="O19" s="58"/>
      <c r="P19" s="58"/>
      <c r="Q19" s="58"/>
      <c r="R19" s="58"/>
      <c r="S19" s="58">
        <v>712951.0</v>
      </c>
      <c r="T19" s="58">
        <v>55.391441628325076</v>
      </c>
      <c r="U19" s="58">
        <v>58.810636003330465</v>
      </c>
      <c r="V19" s="58"/>
      <c r="W19" s="58"/>
      <c r="X19" s="58"/>
      <c r="Y19" s="58"/>
      <c r="Z19" s="58"/>
      <c r="AA19" s="58"/>
      <c r="AB19" s="58"/>
      <c r="AC19" s="58"/>
    </row>
    <row r="20">
      <c r="A20" s="64">
        <v>17.0</v>
      </c>
      <c r="B20" s="65" t="s">
        <v>43</v>
      </c>
      <c r="C20" s="69"/>
      <c r="D20" s="69"/>
      <c r="E20" s="1">
        <f>'ม.ค. 69'!E20+'ก.พ. 69'!D20+D20</f>
        <v>790762</v>
      </c>
      <c r="F20" s="69"/>
      <c r="G20" s="70"/>
      <c r="H20" s="8">
        <f t="shared" si="2"/>
        <v>0</v>
      </c>
      <c r="I20" s="92">
        <f>'ก.พ. 69'!I20+H20</f>
        <v>393912.16</v>
      </c>
      <c r="J20" s="8" t="str">
        <f t="shared" ref="J20:K20" si="18">(H20/D20)*100</f>
        <v>#DIV/0!</v>
      </c>
      <c r="K20" s="67">
        <f t="shared" si="18"/>
        <v>49.81425005</v>
      </c>
      <c r="L20" s="8"/>
      <c r="M20" s="72"/>
      <c r="N20" s="71"/>
      <c r="O20" s="58"/>
      <c r="P20" s="58"/>
      <c r="Q20" s="58"/>
      <c r="R20" s="58"/>
      <c r="S20" s="58">
        <v>100837.0</v>
      </c>
      <c r="T20" s="58">
        <v>58.37298692878562</v>
      </c>
      <c r="U20" s="58">
        <v>49.39042077326589</v>
      </c>
      <c r="V20" s="58"/>
      <c r="W20" s="58"/>
      <c r="X20" s="58"/>
      <c r="Y20" s="58"/>
      <c r="Z20" s="58"/>
      <c r="AA20" s="58"/>
      <c r="AB20" s="58"/>
      <c r="AC20" s="58"/>
    </row>
    <row r="21">
      <c r="A21" s="64">
        <v>18.0</v>
      </c>
      <c r="B21" s="65" t="s">
        <v>44</v>
      </c>
      <c r="C21" s="69">
        <v>695797.79</v>
      </c>
      <c r="D21" s="69">
        <v>584473.74</v>
      </c>
      <c r="E21" s="1">
        <f>'ม.ค. 69'!E21+'ก.พ. 69'!D21+D21</f>
        <v>3451522.83</v>
      </c>
      <c r="F21" s="69">
        <v>309234.0</v>
      </c>
      <c r="G21" s="70">
        <v>34300.0</v>
      </c>
      <c r="H21" s="8">
        <f t="shared" si="2"/>
        <v>240939.74</v>
      </c>
      <c r="I21" s="92">
        <f>'ก.พ. 69'!I21+H21</f>
        <v>1382257.83</v>
      </c>
      <c r="J21" s="8">
        <f t="shared" ref="J21:K21" si="19">(H21/D21)*100</f>
        <v>41.22336446</v>
      </c>
      <c r="K21" s="67">
        <f t="shared" si="19"/>
        <v>40.04776726</v>
      </c>
      <c r="L21" s="8"/>
      <c r="M21" s="72"/>
      <c r="N21" s="71"/>
      <c r="O21" s="58"/>
      <c r="P21" s="58"/>
      <c r="Q21" s="58"/>
      <c r="R21" s="58"/>
      <c r="S21" s="58">
        <v>232410.14</v>
      </c>
      <c r="T21" s="58">
        <v>38.568014829916336</v>
      </c>
      <c r="U21" s="58">
        <v>40.82982176267108</v>
      </c>
      <c r="V21" s="58"/>
      <c r="W21" s="58"/>
      <c r="X21" s="58"/>
      <c r="Y21" s="58"/>
      <c r="Z21" s="58"/>
      <c r="AA21" s="58"/>
      <c r="AB21" s="58"/>
      <c r="AC21" s="58"/>
    </row>
    <row r="22">
      <c r="A22" s="64">
        <v>19.0</v>
      </c>
      <c r="B22" s="65" t="s">
        <v>45</v>
      </c>
      <c r="C22" s="69"/>
      <c r="D22" s="69"/>
      <c r="E22" s="1">
        <f>'ม.ค. 69'!E22+'ก.พ. 69'!D22+D22</f>
        <v>772747</v>
      </c>
      <c r="F22" s="69"/>
      <c r="G22" s="70"/>
      <c r="H22" s="8">
        <f t="shared" si="2"/>
        <v>0</v>
      </c>
      <c r="I22" s="92">
        <f>'ก.พ. 69'!I22+H22</f>
        <v>163644.77</v>
      </c>
      <c r="J22" s="8" t="str">
        <f t="shared" ref="J22:K22" si="20">(H22/D22)*100</f>
        <v>#DIV/0!</v>
      </c>
      <c r="K22" s="67">
        <f t="shared" si="20"/>
        <v>21.17701783</v>
      </c>
      <c r="L22" s="8"/>
      <c r="M22" s="82" t="s">
        <v>94</v>
      </c>
      <c r="N22" s="72" t="s">
        <v>132</v>
      </c>
      <c r="O22" s="58"/>
      <c r="P22" s="58"/>
      <c r="Q22" s="58"/>
      <c r="R22" s="58"/>
      <c r="S22" s="58">
        <v>31156.0</v>
      </c>
      <c r="T22" s="58">
        <v>19.89463937933016</v>
      </c>
      <c r="U22" s="58">
        <v>21.700450571390917</v>
      </c>
      <c r="V22" s="58"/>
      <c r="W22" s="58"/>
      <c r="X22" s="58"/>
      <c r="Y22" s="58"/>
      <c r="Z22" s="58"/>
      <c r="AA22" s="58"/>
      <c r="AB22" s="58"/>
      <c r="AC22" s="58"/>
    </row>
    <row r="23">
      <c r="A23" s="64">
        <v>20.0</v>
      </c>
      <c r="B23" s="65" t="s">
        <v>46</v>
      </c>
      <c r="C23" s="69"/>
      <c r="D23" s="69"/>
      <c r="E23" s="1">
        <f>'ม.ค. 69'!E23+'ก.พ. 69'!D23+D23</f>
        <v>2852541</v>
      </c>
      <c r="F23" s="69"/>
      <c r="G23" s="70"/>
      <c r="H23" s="8">
        <f t="shared" si="2"/>
        <v>0</v>
      </c>
      <c r="I23" s="92">
        <f>'ก.พ. 69'!I23+H23</f>
        <v>1051842.75</v>
      </c>
      <c r="J23" s="8" t="str">
        <f t="shared" ref="J23:K23" si="21">(H23/D23)*100</f>
        <v>#DIV/0!</v>
      </c>
      <c r="K23" s="67">
        <f t="shared" si="21"/>
        <v>36.87388718</v>
      </c>
      <c r="L23" s="8"/>
      <c r="M23" s="72"/>
      <c r="N23" s="72"/>
      <c r="O23" s="58"/>
      <c r="P23" s="58"/>
      <c r="Q23" s="58"/>
      <c r="R23" s="58"/>
      <c r="S23" s="58">
        <v>282243.0</v>
      </c>
      <c r="T23" s="58">
        <v>42.51435130302752</v>
      </c>
      <c r="U23" s="58">
        <v>41.24165394559865</v>
      </c>
      <c r="V23" s="58"/>
      <c r="W23" s="58"/>
      <c r="X23" s="58"/>
      <c r="Y23" s="58"/>
      <c r="Z23" s="58"/>
      <c r="AA23" s="58"/>
      <c r="AB23" s="58"/>
      <c r="AC23" s="58"/>
    </row>
    <row r="24">
      <c r="A24" s="64">
        <v>21.0</v>
      </c>
      <c r="B24" s="65" t="s">
        <v>47</v>
      </c>
      <c r="C24" s="69">
        <v>1767865.0</v>
      </c>
      <c r="D24" s="69">
        <v>1657405.0</v>
      </c>
      <c r="E24" s="1">
        <f>'ม.ค. 69'!E24+'ก.พ. 69'!D24+D24</f>
        <v>9640115</v>
      </c>
      <c r="F24" s="69">
        <v>47182.0</v>
      </c>
      <c r="G24" s="70">
        <v>36610.0</v>
      </c>
      <c r="H24" s="8">
        <f t="shared" si="2"/>
        <v>1573613</v>
      </c>
      <c r="I24" s="92">
        <f>'ก.พ. 69'!I24+H24</f>
        <v>5416706</v>
      </c>
      <c r="J24" s="8">
        <f t="shared" ref="J24:K24" si="22">(H24/D24)*100</f>
        <v>94.94438595</v>
      </c>
      <c r="K24" s="67">
        <f t="shared" si="22"/>
        <v>56.18922596</v>
      </c>
      <c r="L24" s="71" t="s">
        <v>133</v>
      </c>
      <c r="M24" s="72" t="s">
        <v>134</v>
      </c>
      <c r="N24" s="72" t="s">
        <v>138</v>
      </c>
      <c r="O24" s="58"/>
      <c r="P24" s="58"/>
      <c r="Q24" s="58"/>
      <c r="R24" s="58"/>
      <c r="S24" s="58">
        <v>0.0</v>
      </c>
      <c r="T24" s="58" t="e">
        <v>#DIV/0!</v>
      </c>
      <c r="U24" s="58">
        <v>50.01612705298628</v>
      </c>
      <c r="V24" s="58"/>
      <c r="W24" s="58"/>
      <c r="X24" s="58"/>
      <c r="Y24" s="58"/>
      <c r="Z24" s="58"/>
      <c r="AA24" s="58"/>
      <c r="AB24" s="58"/>
      <c r="AC24" s="58"/>
    </row>
    <row r="25">
      <c r="A25" s="111">
        <v>22.0</v>
      </c>
      <c r="B25" s="112" t="s">
        <v>48</v>
      </c>
      <c r="C25" s="113"/>
      <c r="D25" s="113"/>
      <c r="E25" s="114">
        <f>'ม.ค. 69'!E25+'ก.พ. 69'!D25+D25</f>
        <v>2724878</v>
      </c>
      <c r="F25" s="113"/>
      <c r="G25" s="113"/>
      <c r="H25" s="115">
        <f t="shared" si="2"/>
        <v>0</v>
      </c>
      <c r="I25" s="114">
        <f>'ก.พ. 69'!I25+H25</f>
        <v>878390.3</v>
      </c>
      <c r="J25" s="115" t="str">
        <f t="shared" ref="J25:K25" si="23">(H25/D25)*100</f>
        <v>#DIV/0!</v>
      </c>
      <c r="K25" s="116">
        <f t="shared" si="23"/>
        <v>32.23594965</v>
      </c>
      <c r="L25" s="115"/>
      <c r="M25" s="72" t="s">
        <v>98</v>
      </c>
      <c r="N25" s="72" t="s">
        <v>99</v>
      </c>
      <c r="O25" s="108"/>
      <c r="P25" s="108"/>
      <c r="Q25" s="108"/>
      <c r="R25" s="108"/>
      <c r="S25" s="108">
        <v>162032.0</v>
      </c>
      <c r="T25" s="108">
        <v>28.88816781780515</v>
      </c>
      <c r="U25" s="108">
        <v>31.92179462172841</v>
      </c>
      <c r="V25" s="108"/>
      <c r="W25" s="108"/>
      <c r="X25" s="108"/>
      <c r="Y25" s="108"/>
      <c r="Z25" s="108"/>
      <c r="AA25" s="108"/>
      <c r="AB25" s="108"/>
      <c r="AC25" s="108"/>
    </row>
    <row r="26">
      <c r="A26" s="83">
        <v>23.0</v>
      </c>
      <c r="B26" s="84" t="s">
        <v>100</v>
      </c>
      <c r="C26" s="18">
        <f>SUM(C4:C25)</f>
        <v>7030564.17</v>
      </c>
      <c r="D26" s="18">
        <f>sum(D4:D25)</f>
        <v>6438472.03</v>
      </c>
      <c r="E26" s="85">
        <f>SUM(E4:E25)</f>
        <v>211219109.1</v>
      </c>
      <c r="F26" s="18">
        <f t="shared" ref="F26:H26" si="24">sum(F4:F25)</f>
        <v>2851063</v>
      </c>
      <c r="G26" s="18">
        <f t="shared" si="24"/>
        <v>163783.92</v>
      </c>
      <c r="H26" s="18">
        <f t="shared" si="24"/>
        <v>3423625.11</v>
      </c>
      <c r="I26" s="18">
        <f>'ม.ค. 69'!I26+H26</f>
        <v>49677824.01</v>
      </c>
      <c r="J26" s="18">
        <f t="shared" ref="J26:K26" si="25">(H26/D26)*100</f>
        <v>53.1744969</v>
      </c>
      <c r="K26" s="18">
        <f t="shared" si="25"/>
        <v>23.51956896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</sheetData>
  <mergeCells count="7">
    <mergeCell ref="A1:N1"/>
    <mergeCell ref="A2:A3"/>
    <mergeCell ref="B2:B3"/>
    <mergeCell ref="H2:K2"/>
    <mergeCell ref="L2:L3"/>
    <mergeCell ref="M2:M3"/>
    <mergeCell ref="N2:N3"/>
  </mergeCells>
  <conditionalFormatting sqref="G2:G1000">
    <cfRule type="cellIs" dxfId="1" priority="1" operator="greaterThan">
      <formula>100000</formula>
    </cfRule>
  </conditionalFormatting>
  <printOptions gridLines="1" horizontalCentered="1"/>
  <pageMargins bottom="0.75" footer="0.0" header="0.0" left="0.25" right="0.25" top="0.75"/>
  <pageSetup paperSize="8" cellComments="atEnd" orientation="landscape" pageOrder="overThenDown"/>
  <drawing r:id="rId1"/>
</worksheet>
</file>