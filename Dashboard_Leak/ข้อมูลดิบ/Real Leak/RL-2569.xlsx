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yo\Claude Test Cowork\รายงานประจำเดือน\ข้อมูลดิบ\กรจ\"/>
    </mc:Choice>
  </mc:AlternateContent>
  <xr:revisionPtr revIDLastSave="0" documentId="8_{3F76E31B-4D00-45A8-9588-3AACFE5E14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อัตรา" sheetId="1" r:id="rId1"/>
    <sheet name="ปริมาณ" sheetId="2" r:id="rId2"/>
    <sheet name="ต.ค.68" sheetId="3" r:id="rId3"/>
    <sheet name="พ.ย. 68" sheetId="4" r:id="rId4"/>
    <sheet name="ธ.ค. 68" sheetId="5" r:id="rId5"/>
    <sheet name="ม.ค. 69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6" l="1"/>
  <c r="F26" i="6"/>
  <c r="D26" i="6"/>
  <c r="C26" i="6"/>
  <c r="J25" i="6"/>
  <c r="H25" i="6"/>
  <c r="H24" i="6"/>
  <c r="J24" i="6" s="1"/>
  <c r="H23" i="6"/>
  <c r="J23" i="6" s="1"/>
  <c r="J22" i="6"/>
  <c r="H22" i="6"/>
  <c r="J21" i="6"/>
  <c r="H21" i="6"/>
  <c r="E21" i="6"/>
  <c r="J20" i="6"/>
  <c r="H20" i="6"/>
  <c r="J19" i="6"/>
  <c r="H19" i="6"/>
  <c r="H18" i="6"/>
  <c r="J18" i="6" s="1"/>
  <c r="H17" i="6"/>
  <c r="J17" i="6" s="1"/>
  <c r="H16" i="6"/>
  <c r="J16" i="6" s="1"/>
  <c r="J15" i="6"/>
  <c r="H15" i="6"/>
  <c r="H14" i="6"/>
  <c r="J14" i="6" s="1"/>
  <c r="H13" i="6"/>
  <c r="J13" i="6" s="1"/>
  <c r="E13" i="6"/>
  <c r="H12" i="6"/>
  <c r="J12" i="6" s="1"/>
  <c r="H11" i="6"/>
  <c r="J11" i="6" s="1"/>
  <c r="E11" i="6"/>
  <c r="H10" i="6"/>
  <c r="J10" i="6" s="1"/>
  <c r="H9" i="6"/>
  <c r="J9" i="6" s="1"/>
  <c r="H8" i="6"/>
  <c r="J8" i="6" s="1"/>
  <c r="J7" i="6"/>
  <c r="H7" i="6"/>
  <c r="J6" i="6"/>
  <c r="H6" i="6"/>
  <c r="J5" i="6"/>
  <c r="H5" i="6"/>
  <c r="J4" i="6"/>
  <c r="H4" i="6"/>
  <c r="H26" i="6" s="1"/>
  <c r="J26" i="6" s="1"/>
  <c r="A4" i="6" a="1"/>
  <c r="A16" i="6" s="1"/>
  <c r="G26" i="5"/>
  <c r="F26" i="5"/>
  <c r="D26" i="5"/>
  <c r="C26" i="5"/>
  <c r="J25" i="5"/>
  <c r="H25" i="5"/>
  <c r="E25" i="5"/>
  <c r="E25" i="6" s="1"/>
  <c r="H24" i="5"/>
  <c r="J24" i="5" s="1"/>
  <c r="H23" i="5"/>
  <c r="J23" i="5" s="1"/>
  <c r="H22" i="5"/>
  <c r="J22" i="5" s="1"/>
  <c r="J21" i="5"/>
  <c r="H21" i="5"/>
  <c r="E21" i="5"/>
  <c r="H20" i="5"/>
  <c r="J20" i="5" s="1"/>
  <c r="H19" i="5"/>
  <c r="J19" i="5" s="1"/>
  <c r="E19" i="5"/>
  <c r="E19" i="6" s="1"/>
  <c r="H18" i="5"/>
  <c r="J18" i="5" s="1"/>
  <c r="E18" i="5"/>
  <c r="E18" i="6" s="1"/>
  <c r="H17" i="5"/>
  <c r="J17" i="5" s="1"/>
  <c r="E17" i="5"/>
  <c r="E17" i="6" s="1"/>
  <c r="H16" i="5"/>
  <c r="J16" i="5" s="1"/>
  <c r="H15" i="5"/>
  <c r="J15" i="5" s="1"/>
  <c r="H14" i="5"/>
  <c r="J14" i="5" s="1"/>
  <c r="J13" i="5"/>
  <c r="H13" i="5"/>
  <c r="E13" i="5"/>
  <c r="J12" i="5"/>
  <c r="H12" i="5"/>
  <c r="E12" i="5"/>
  <c r="E12" i="6" s="1"/>
  <c r="J11" i="5"/>
  <c r="H11" i="5"/>
  <c r="E11" i="5"/>
  <c r="J10" i="5"/>
  <c r="H10" i="5"/>
  <c r="F10" i="5"/>
  <c r="E10" i="5"/>
  <c r="E10" i="6" s="1"/>
  <c r="J9" i="5"/>
  <c r="H9" i="5"/>
  <c r="J8" i="5"/>
  <c r="H8" i="5"/>
  <c r="J7" i="5"/>
  <c r="H7" i="5"/>
  <c r="J6" i="5"/>
  <c r="H6" i="5"/>
  <c r="H5" i="5"/>
  <c r="J5" i="5" s="1"/>
  <c r="H4" i="5"/>
  <c r="H26" i="5" s="1"/>
  <c r="J26" i="5" s="1"/>
  <c r="A4" i="5" a="1"/>
  <c r="A15" i="5" s="1"/>
  <c r="G26" i="4"/>
  <c r="F26" i="4"/>
  <c r="E26" i="4"/>
  <c r="D26" i="4"/>
  <c r="H25" i="4"/>
  <c r="J25" i="4" s="1"/>
  <c r="E25" i="4"/>
  <c r="J24" i="4"/>
  <c r="H24" i="4"/>
  <c r="I24" i="4" s="1"/>
  <c r="E24" i="4"/>
  <c r="E24" i="5" s="1"/>
  <c r="E24" i="6" s="1"/>
  <c r="H23" i="4"/>
  <c r="J23" i="4" s="1"/>
  <c r="E23" i="4"/>
  <c r="E23" i="5" s="1"/>
  <c r="E23" i="6" s="1"/>
  <c r="H22" i="4"/>
  <c r="J22" i="4" s="1"/>
  <c r="E22" i="4"/>
  <c r="E22" i="5" s="1"/>
  <c r="E22" i="6" s="1"/>
  <c r="J21" i="4"/>
  <c r="I21" i="4"/>
  <c r="K21" i="4" s="1"/>
  <c r="H21" i="4"/>
  <c r="E21" i="4"/>
  <c r="I20" i="4"/>
  <c r="I20" i="5" s="1"/>
  <c r="H20" i="4"/>
  <c r="J20" i="4" s="1"/>
  <c r="E20" i="4"/>
  <c r="E20" i="5" s="1"/>
  <c r="E20" i="6" s="1"/>
  <c r="H19" i="4"/>
  <c r="J19" i="4" s="1"/>
  <c r="E19" i="4"/>
  <c r="H18" i="4"/>
  <c r="J18" i="4" s="1"/>
  <c r="E18" i="4"/>
  <c r="H17" i="4"/>
  <c r="J17" i="4" s="1"/>
  <c r="E17" i="4"/>
  <c r="J16" i="4"/>
  <c r="H16" i="4"/>
  <c r="E16" i="4"/>
  <c r="E16" i="5" s="1"/>
  <c r="E16" i="6" s="1"/>
  <c r="H15" i="4"/>
  <c r="J15" i="4" s="1"/>
  <c r="E15" i="4"/>
  <c r="E15" i="5" s="1"/>
  <c r="E15" i="6" s="1"/>
  <c r="J14" i="4"/>
  <c r="I14" i="4"/>
  <c r="I14" i="5" s="1"/>
  <c r="H14" i="4"/>
  <c r="E14" i="4"/>
  <c r="E14" i="5" s="1"/>
  <c r="E14" i="6" s="1"/>
  <c r="J13" i="4"/>
  <c r="I13" i="4"/>
  <c r="K13" i="4" s="1"/>
  <c r="H13" i="4"/>
  <c r="E13" i="4"/>
  <c r="J12" i="4"/>
  <c r="H12" i="4"/>
  <c r="E12" i="4"/>
  <c r="H11" i="4"/>
  <c r="J11" i="4" s="1"/>
  <c r="E11" i="4"/>
  <c r="H10" i="4"/>
  <c r="J10" i="4" s="1"/>
  <c r="F10" i="4"/>
  <c r="E10" i="4"/>
  <c r="C10" i="4"/>
  <c r="C26" i="4" s="1"/>
  <c r="H9" i="4"/>
  <c r="J9" i="4" s="1"/>
  <c r="E9" i="4"/>
  <c r="E9" i="5" s="1"/>
  <c r="E9" i="6" s="1"/>
  <c r="J8" i="4"/>
  <c r="H8" i="4"/>
  <c r="E8" i="4"/>
  <c r="E8" i="5" s="1"/>
  <c r="E8" i="6" s="1"/>
  <c r="J7" i="4"/>
  <c r="I7" i="4"/>
  <c r="K7" i="4" s="1"/>
  <c r="H7" i="4"/>
  <c r="E7" i="4"/>
  <c r="E7" i="5" s="1"/>
  <c r="E7" i="6" s="1"/>
  <c r="J6" i="4"/>
  <c r="H6" i="4"/>
  <c r="E6" i="4"/>
  <c r="E6" i="5" s="1"/>
  <c r="E6" i="6" s="1"/>
  <c r="H5" i="4"/>
  <c r="J5" i="4" s="1"/>
  <c r="E5" i="4"/>
  <c r="E5" i="5" s="1"/>
  <c r="E5" i="6" s="1"/>
  <c r="I4" i="4"/>
  <c r="K4" i="4" s="1"/>
  <c r="H4" i="4"/>
  <c r="H26" i="4" s="1"/>
  <c r="J26" i="4" s="1"/>
  <c r="E4" i="4"/>
  <c r="E4" i="5" s="1"/>
  <c r="A4" i="4" a="1"/>
  <c r="A15" i="4" s="1"/>
  <c r="M26" i="3"/>
  <c r="D26" i="3"/>
  <c r="C26" i="3"/>
  <c r="M25" i="3"/>
  <c r="H25" i="3"/>
  <c r="G25" i="3"/>
  <c r="M24" i="3"/>
  <c r="G24" i="3"/>
  <c r="H24" i="3" s="1"/>
  <c r="O23" i="1" s="1"/>
  <c r="M23" i="3"/>
  <c r="G23" i="3"/>
  <c r="I23" i="4" s="1"/>
  <c r="M22" i="3"/>
  <c r="G22" i="3"/>
  <c r="I22" i="4" s="1"/>
  <c r="M21" i="3"/>
  <c r="H21" i="3"/>
  <c r="G21" i="3"/>
  <c r="M20" i="3"/>
  <c r="H20" i="3"/>
  <c r="G20" i="3"/>
  <c r="M19" i="3"/>
  <c r="H19" i="3"/>
  <c r="G19" i="3"/>
  <c r="I19" i="4" s="1"/>
  <c r="M18" i="3"/>
  <c r="G18" i="3"/>
  <c r="I18" i="4" s="1"/>
  <c r="M17" i="3"/>
  <c r="G17" i="3"/>
  <c r="I17" i="4" s="1"/>
  <c r="M16" i="3"/>
  <c r="G16" i="3"/>
  <c r="H16" i="3" s="1"/>
  <c r="O15" i="1" s="1"/>
  <c r="M15" i="3"/>
  <c r="H15" i="3"/>
  <c r="G15" i="3"/>
  <c r="I15" i="4" s="1"/>
  <c r="M14" i="3"/>
  <c r="G14" i="3"/>
  <c r="H14" i="3" s="1"/>
  <c r="O13" i="1" s="1"/>
  <c r="M13" i="3"/>
  <c r="H13" i="3"/>
  <c r="G13" i="3"/>
  <c r="M12" i="3"/>
  <c r="H12" i="3"/>
  <c r="O11" i="1" s="1"/>
  <c r="G12" i="3"/>
  <c r="I12" i="4" s="1"/>
  <c r="M11" i="3"/>
  <c r="H11" i="3"/>
  <c r="G11" i="3"/>
  <c r="M10" i="3"/>
  <c r="G10" i="3"/>
  <c r="H10" i="3" s="1"/>
  <c r="O9" i="1" s="1"/>
  <c r="E10" i="3"/>
  <c r="E26" i="3" s="1"/>
  <c r="M9" i="3"/>
  <c r="G9" i="3"/>
  <c r="H9" i="3" s="1"/>
  <c r="O8" i="1" s="1"/>
  <c r="M8" i="3"/>
  <c r="F8" i="3"/>
  <c r="F26" i="3" s="1"/>
  <c r="M7" i="3"/>
  <c r="G7" i="3"/>
  <c r="H7" i="3" s="1"/>
  <c r="O6" i="1" s="1"/>
  <c r="M6" i="3"/>
  <c r="G6" i="3"/>
  <c r="H6" i="3" s="1"/>
  <c r="O5" i="1" s="1"/>
  <c r="M5" i="3"/>
  <c r="H5" i="3"/>
  <c r="G5" i="3"/>
  <c r="I5" i="4" s="1"/>
  <c r="M4" i="3"/>
  <c r="G4" i="3"/>
  <c r="H4" i="3" s="1"/>
  <c r="O3" i="1" s="1"/>
  <c r="A4" i="3" a="1"/>
  <c r="A17" i="3" s="1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3" i="2" a="1"/>
  <c r="A10" i="2" s="1"/>
  <c r="O24" i="1"/>
  <c r="O20" i="1"/>
  <c r="O19" i="1"/>
  <c r="O18" i="1"/>
  <c r="O14" i="1"/>
  <c r="O12" i="1"/>
  <c r="O10" i="1"/>
  <c r="O4" i="1"/>
  <c r="I5" i="5" l="1"/>
  <c r="K5" i="4"/>
  <c r="K19" i="4"/>
  <c r="I19" i="5"/>
  <c r="K20" i="5"/>
  <c r="I20" i="6"/>
  <c r="K20" i="6" s="1"/>
  <c r="E26" i="5"/>
  <c r="E4" i="6"/>
  <c r="E26" i="6" s="1"/>
  <c r="K15" i="4"/>
  <c r="I15" i="5"/>
  <c r="I18" i="5"/>
  <c r="K18" i="4"/>
  <c r="K12" i="4"/>
  <c r="I12" i="5"/>
  <c r="K24" i="4"/>
  <c r="I24" i="5"/>
  <c r="I14" i="6"/>
  <c r="K14" i="6" s="1"/>
  <c r="K14" i="5"/>
  <c r="K22" i="4"/>
  <c r="I22" i="5"/>
  <c r="K23" i="4"/>
  <c r="I23" i="5"/>
  <c r="I17" i="5"/>
  <c r="K17" i="4"/>
  <c r="A13" i="2"/>
  <c r="A14" i="2"/>
  <c r="A5" i="3"/>
  <c r="A21" i="3"/>
  <c r="A4" i="4"/>
  <c r="A19" i="4"/>
  <c r="A4" i="5"/>
  <c r="A19" i="5"/>
  <c r="A11" i="2"/>
  <c r="A18" i="3"/>
  <c r="A16" i="4"/>
  <c r="K20" i="4"/>
  <c r="A16" i="5"/>
  <c r="A17" i="6"/>
  <c r="A12" i="2"/>
  <c r="A4" i="3"/>
  <c r="A19" i="3"/>
  <c r="H22" i="3"/>
  <c r="O21" i="1" s="1"/>
  <c r="A17" i="4"/>
  <c r="I11" i="4"/>
  <c r="A17" i="5"/>
  <c r="A18" i="6"/>
  <c r="A20" i="3"/>
  <c r="H17" i="3"/>
  <c r="O16" i="1" s="1"/>
  <c r="A18" i="4"/>
  <c r="K14" i="4"/>
  <c r="A18" i="5"/>
  <c r="I21" i="5"/>
  <c r="A4" i="6"/>
  <c r="A19" i="6"/>
  <c r="A20" i="6"/>
  <c r="A20" i="5"/>
  <c r="A5" i="6"/>
  <c r="A21" i="6"/>
  <c r="A16" i="2"/>
  <c r="A7" i="3"/>
  <c r="A23" i="3"/>
  <c r="G8" i="3"/>
  <c r="H18" i="3"/>
  <c r="O17" i="1" s="1"/>
  <c r="A5" i="4"/>
  <c r="A21" i="4"/>
  <c r="I9" i="4"/>
  <c r="A5" i="5"/>
  <c r="A21" i="5"/>
  <c r="A6" i="6"/>
  <c r="A22" i="6"/>
  <c r="A17" i="2"/>
  <c r="A8" i="3"/>
  <c r="A24" i="3"/>
  <c r="A6" i="4"/>
  <c r="A22" i="4"/>
  <c r="I6" i="4"/>
  <c r="A6" i="5"/>
  <c r="A22" i="5"/>
  <c r="A7" i="6"/>
  <c r="A23" i="6"/>
  <c r="A3" i="2"/>
  <c r="A18" i="2"/>
  <c r="A9" i="3"/>
  <c r="A25" i="3"/>
  <c r="A7" i="4"/>
  <c r="A23" i="4"/>
  <c r="I25" i="4"/>
  <c r="A7" i="5"/>
  <c r="A23" i="5"/>
  <c r="A8" i="6"/>
  <c r="A24" i="6"/>
  <c r="A19" i="2"/>
  <c r="A10" i="3"/>
  <c r="A8" i="4"/>
  <c r="A24" i="4"/>
  <c r="A8" i="5"/>
  <c r="A24" i="5"/>
  <c r="A9" i="6"/>
  <c r="A25" i="6"/>
  <c r="A15" i="2"/>
  <c r="A6" i="3"/>
  <c r="A22" i="3"/>
  <c r="H23" i="3"/>
  <c r="O22" i="1" s="1"/>
  <c r="A4" i="2"/>
  <c r="A20" i="2"/>
  <c r="A11" i="3"/>
  <c r="A9" i="4"/>
  <c r="A25" i="4"/>
  <c r="A9" i="5"/>
  <c r="A25" i="5"/>
  <c r="A10" i="6"/>
  <c r="A5" i="2"/>
  <c r="A21" i="2"/>
  <c r="A12" i="3"/>
  <c r="A10" i="4"/>
  <c r="I16" i="4"/>
  <c r="A10" i="5"/>
  <c r="I13" i="5"/>
  <c r="A11" i="6"/>
  <c r="A6" i="2"/>
  <c r="A22" i="2"/>
  <c r="A13" i="3"/>
  <c r="A11" i="4"/>
  <c r="A11" i="5"/>
  <c r="I7" i="5"/>
  <c r="A12" i="6"/>
  <c r="A7" i="2"/>
  <c r="A23" i="2"/>
  <c r="A14" i="3"/>
  <c r="A12" i="4"/>
  <c r="I10" i="4"/>
  <c r="A12" i="5"/>
  <c r="I4" i="5"/>
  <c r="A13" i="6"/>
  <c r="A8" i="2"/>
  <c r="A24" i="2"/>
  <c r="A15" i="3"/>
  <c r="A13" i="4"/>
  <c r="J4" i="4"/>
  <c r="A13" i="5"/>
  <c r="J4" i="5"/>
  <c r="A14" i="6"/>
  <c r="A20" i="4"/>
  <c r="A9" i="2"/>
  <c r="A25" i="2"/>
  <c r="A16" i="3"/>
  <c r="A14" i="4"/>
  <c r="A14" i="5"/>
  <c r="A15" i="6"/>
  <c r="H8" i="3" l="1"/>
  <c r="O7" i="1" s="1"/>
  <c r="I8" i="4"/>
  <c r="K6" i="4"/>
  <c r="I6" i="5"/>
  <c r="I11" i="5"/>
  <c r="K11" i="4"/>
  <c r="K18" i="5"/>
  <c r="I18" i="6"/>
  <c r="K18" i="6" s="1"/>
  <c r="K15" i="5"/>
  <c r="I15" i="6"/>
  <c r="K15" i="6" s="1"/>
  <c r="K25" i="4"/>
  <c r="I25" i="5"/>
  <c r="K13" i="5"/>
  <c r="I13" i="6"/>
  <c r="K13" i="6" s="1"/>
  <c r="I17" i="6"/>
  <c r="K17" i="6" s="1"/>
  <c r="K17" i="5"/>
  <c r="K16" i="4"/>
  <c r="I16" i="5"/>
  <c r="K21" i="5"/>
  <c r="I21" i="6"/>
  <c r="K21" i="6" s="1"/>
  <c r="P23" i="1"/>
  <c r="P12" i="1"/>
  <c r="P17" i="1"/>
  <c r="P6" i="1"/>
  <c r="P11" i="1"/>
  <c r="P16" i="1"/>
  <c r="P5" i="1"/>
  <c r="P10" i="1"/>
  <c r="P15" i="1"/>
  <c r="P20" i="1"/>
  <c r="P4" i="1"/>
  <c r="P9" i="1"/>
  <c r="P22" i="1"/>
  <c r="P21" i="1"/>
  <c r="P14" i="1"/>
  <c r="P25" i="1"/>
  <c r="P18" i="1"/>
  <c r="P7" i="1"/>
  <c r="P19" i="1"/>
  <c r="P3" i="1"/>
  <c r="P24" i="1"/>
  <c r="P8" i="1"/>
  <c r="P13" i="1"/>
  <c r="K10" i="4"/>
  <c r="I10" i="5"/>
  <c r="K22" i="5"/>
  <c r="I22" i="6"/>
  <c r="K22" i="6" s="1"/>
  <c r="I24" i="6"/>
  <c r="K24" i="6" s="1"/>
  <c r="K24" i="5"/>
  <c r="K7" i="5"/>
  <c r="I7" i="6"/>
  <c r="K7" i="6" s="1"/>
  <c r="K12" i="5"/>
  <c r="I12" i="6"/>
  <c r="K12" i="6" s="1"/>
  <c r="K4" i="5"/>
  <c r="I4" i="6"/>
  <c r="K4" i="6" s="1"/>
  <c r="K23" i="5"/>
  <c r="I23" i="6"/>
  <c r="K23" i="6" s="1"/>
  <c r="Q17" i="1"/>
  <c r="Q6" i="1"/>
  <c r="Q11" i="1"/>
  <c r="Q5" i="1"/>
  <c r="Q15" i="1"/>
  <c r="Q4" i="1"/>
  <c r="Q9" i="1"/>
  <c r="Q14" i="1"/>
  <c r="Q22" i="1"/>
  <c r="Q16" i="1"/>
  <c r="Q21" i="1"/>
  <c r="Q10" i="1"/>
  <c r="Q20" i="1"/>
  <c r="Q25" i="1"/>
  <c r="Q18" i="1"/>
  <c r="Q23" i="1"/>
  <c r="Q7" i="1"/>
  <c r="Q12" i="1"/>
  <c r="Q19" i="1"/>
  <c r="Q3" i="1"/>
  <c r="Q24" i="1"/>
  <c r="Q8" i="1"/>
  <c r="Q13" i="1"/>
  <c r="K19" i="5"/>
  <c r="I19" i="6"/>
  <c r="K19" i="6" s="1"/>
  <c r="K9" i="4"/>
  <c r="I9" i="5"/>
  <c r="G26" i="3"/>
  <c r="I5" i="6"/>
  <c r="K5" i="6" s="1"/>
  <c r="K5" i="5"/>
  <c r="K25" i="5" l="1"/>
  <c r="I25" i="6"/>
  <c r="K25" i="6" s="1"/>
  <c r="I11" i="6"/>
  <c r="K11" i="6" s="1"/>
  <c r="K11" i="5"/>
  <c r="K6" i="5"/>
  <c r="I6" i="6"/>
  <c r="K6" i="6" s="1"/>
  <c r="K10" i="5"/>
  <c r="I10" i="6"/>
  <c r="K10" i="6" s="1"/>
  <c r="H26" i="3"/>
  <c r="O25" i="1" s="1"/>
  <c r="I26" i="4"/>
  <c r="K9" i="5"/>
  <c r="I9" i="6"/>
  <c r="K9" i="6" s="1"/>
  <c r="K16" i="5"/>
  <c r="I16" i="6"/>
  <c r="K16" i="6" s="1"/>
  <c r="K8" i="4"/>
  <c r="I8" i="5"/>
  <c r="I8" i="6" l="1"/>
  <c r="K8" i="6" s="1"/>
  <c r="K8" i="5"/>
  <c r="I26" i="5"/>
  <c r="K26" i="4"/>
  <c r="I26" i="6" l="1"/>
  <c r="K26" i="6" s="1"/>
  <c r="K26" i="5"/>
</calcChain>
</file>

<file path=xl/sharedStrings.xml><?xml version="1.0" encoding="utf-8"?>
<sst xmlns="http://schemas.openxmlformats.org/spreadsheetml/2006/main" count="410" uniqueCount="123">
  <si>
    <t>Data</t>
  </si>
  <si>
    <t>ปีงบประมาณ 2568</t>
  </si>
  <si>
    <t>ปีงบประมาณ 2569</t>
  </si>
  <si>
    <t>ต.ค. 67</t>
  </si>
  <si>
    <t>พ.ย. 67</t>
  </si>
  <si>
    <t>ธ.ค. 67</t>
  </si>
  <si>
    <t>ม.ค. 68</t>
  </si>
  <si>
    <t>ก.พ. 68</t>
  </si>
  <si>
    <t>มี.ค. 68</t>
  </si>
  <si>
    <t>เม.ย. 68</t>
  </si>
  <si>
    <t>พ.ค. 68</t>
  </si>
  <si>
    <t>มิ.ย. 68</t>
  </si>
  <si>
    <t>ก.ค. 68</t>
  </si>
  <si>
    <t>ส.ค. 68</t>
  </si>
  <si>
    <t>ก.ย. 68</t>
  </si>
  <si>
    <t>ต.ค. 68</t>
  </si>
  <si>
    <t>พ.ย. 68</t>
  </si>
  <si>
    <t>ธ.ค. 68</t>
  </si>
  <si>
    <t>ม.ค. 69</t>
  </si>
  <si>
    <t>ก.พ. 69</t>
  </si>
  <si>
    <t>มี.ค. 69</t>
  </si>
  <si>
    <t>เม.ย. 69</t>
  </si>
  <si>
    <t>พ.ค. 69</t>
  </si>
  <si>
    <t>มิ.ย. 69</t>
  </si>
  <si>
    <t>ก.ค. 69</t>
  </si>
  <si>
    <t>ส.ค. 69</t>
  </si>
  <si>
    <t>ก.ย. 69</t>
  </si>
  <si>
    <t>ชลบุรี (พ)</t>
  </si>
  <si>
    <t>พัทยา (พ)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</si>
  <si>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</si>
  <si>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</si>
  <si>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</si>
  <si>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</si>
  <si>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</si>
  <si>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</si>
  <si>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</si>
  <si>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</si>
  <si>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</si>
  <si>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</si>
  <si>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</si>
  <si>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</si>
  <si>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</si>
  <si>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</si>
  <si>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</si>
  <si>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</si>
  <si>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</si>
  <si>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</si>
  <si>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</si>
  <si>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</si>
  <si>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ภาพรวม กปภ.ข.1</t>
  </si>
  <si>
    <t>เดือน</t>
  </si>
  <si>
    <t xml:space="preserve">ข้อมูลน้ำสูญเสียตัวจริงที่ใช้ในการบริหารของ กปภ.เขต 1 เดือนตุลาคม 2568          </t>
  </si>
  <si>
    <t>ลำดับ</t>
  </si>
  <si>
    <t>กปภ.สาขา</t>
  </si>
  <si>
    <t>น้ำผลิตรวมจริง</t>
  </si>
  <si>
    <t>น้ำผลิตจ่ายสุทธิจริง</t>
  </si>
  <si>
    <t>น้ำจำหน่ายจริง</t>
  </si>
  <si>
    <t>น้ำ Blow off จริง</t>
  </si>
  <si>
    <t>น้ำสูญเสียจริง</t>
  </si>
  <si>
    <t>หมายเหตุ</t>
  </si>
  <si>
    <t>ผู้ลงข้อมูล</t>
  </si>
  <si>
    <t>เบอร์ติดต่อ</t>
  </si>
  <si>
    <t>(ลบ.ม.)</t>
  </si>
  <si>
    <t>ปริมาณ (ลบ.ม.)</t>
  </si>
  <si>
    <t>อัตรา (%)</t>
  </si>
  <si>
    <t>อุดมพร ปะระคะ</t>
  </si>
  <si>
    <t>098-9095654</t>
  </si>
  <si>
    <t>สุธินันท์ รัตนพงษ์</t>
  </si>
  <si>
    <t>094-497-0887</t>
  </si>
  <si>
    <t>บริพัฒน์  คมดี</t>
  </si>
  <si>
    <t>092-5013245</t>
  </si>
  <si>
    <t>จิราพัชร ปั้นชู</t>
  </si>
  <si>
    <t>ธนกฤต เล็กตระกูลชัย</t>
  </si>
  <si>
    <t>083-7674284</t>
  </si>
  <si>
    <t>สุทธิรักษ์ รอบคอบ</t>
  </si>
  <si>
    <t>091-873-6353</t>
  </si>
  <si>
    <t>ปัทมา สาริกาแก้ว</t>
  </si>
  <si>
    <t>08-1975-3781</t>
  </si>
  <si>
    <t>สมยศ นาคอุไร</t>
  </si>
  <si>
    <t>081-248-5959</t>
  </si>
  <si>
    <t>นายวันเฉลิม เวียงนนท์</t>
  </si>
  <si>
    <t>081-369-8451</t>
  </si>
  <si>
    <t>หฤพันธ์  โกมินทร์</t>
  </si>
  <si>
    <t>084-601-2285</t>
  </si>
  <si>
    <t>จตุพร เปี่ยมพงศ์สาน</t>
  </si>
  <si>
    <t>ไพรชยนต์ ไชยลิ้นฟ้า</t>
  </si>
  <si>
    <t>091-4685354</t>
  </si>
  <si>
    <t>กัญญารัตน์ ศรีอุดม</t>
  </si>
  <si>
    <t>092-6658041</t>
  </si>
  <si>
    <t>ธนากร นัทธี</t>
  </si>
  <si>
    <t>064-5291360</t>
  </si>
  <si>
    <t>นายธงชัย  จารัตน์</t>
  </si>
  <si>
    <t>087-4496640</t>
  </si>
  <si>
    <t>ฉัตรชัย จันทร์สงค์</t>
  </si>
  <si>
    <t>อภิรัติ เครืออนันต์</t>
  </si>
  <si>
    <t>082-207-7831</t>
  </si>
  <si>
    <t>นายณัฐวุฒิ อ่างเข็ม</t>
  </si>
  <si>
    <t>090-909-9277</t>
  </si>
  <si>
    <t>นายภาณุพัฒน์ ศรีวงษา</t>
  </si>
  <si>
    <t>095-8574448</t>
  </si>
  <si>
    <t>รวม กปภ.ข.1</t>
  </si>
  <si>
    <t xml:space="preserve">ข้อมูลน้ำสูญเสียตัวจริงที่ใช้ในการบริหารของ กปภ.เขต 1 เดือนพฤศจิกายน 2568                                                                </t>
  </si>
  <si>
    <t>น้ำผลิตจ่ายสุทธิจริงสะสม</t>
  </si>
  <si>
    <t>ปริมาณสะสม (ลบ.ม.)</t>
  </si>
  <si>
    <t>อัตราสะสม (%)</t>
  </si>
  <si>
    <t>094-4970887</t>
  </si>
  <si>
    <t>ธนชนัญ สิทธิเวช</t>
  </si>
  <si>
    <t>083-014-1725</t>
  </si>
  <si>
    <t>08-6975-3781</t>
  </si>
  <si>
    <t>จุมพล คลังเจริญพาณิช</t>
  </si>
  <si>
    <t>092-515-3656</t>
  </si>
  <si>
    <t>นายเกียรติศักดิ์  งอกศักดา</t>
  </si>
  <si>
    <t>064-3963619</t>
  </si>
  <si>
    <t>091-468-5354</t>
  </si>
  <si>
    <t>สุทธิพงศ์  นิลเพ็ชร</t>
  </si>
  <si>
    <t>ณยศ เพ็งแก้ว</t>
  </si>
  <si>
    <t>080-6645-916</t>
  </si>
  <si>
    <t>"0629252914</t>
  </si>
  <si>
    <t>ธีทัต สีอุดม</t>
  </si>
  <si>
    <t>ธนวรรธก์ สุวรรณศรี</t>
  </si>
  <si>
    <t>วันเฉลิม เวียงนนท์</t>
  </si>
  <si>
    <t xml:space="preserve">นายณัฐวุฒิ อ่างเข็ม </t>
  </si>
  <si>
    <t>090-9099277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</si>
</sst>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Verdana"/>
      <scheme val="minor"/>
    </font>
    <font>
      <sz val="15"/>
      <color theme="1"/>
      <name val="TH SarabunPSK"/>
    </font>
    <font>
      <b/>
      <sz val="14"/>
      <color theme="1"/>
      <name val="Sarabun"/>
    </font>
    <font>
      <sz val="10"/>
      <name val="Verdana"/>
    </font>
    <font>
      <sz val="14"/>
      <color theme="1"/>
      <name val="Sarabun"/>
    </font>
    <font>
      <b/>
      <sz val="13"/>
      <color theme="1"/>
      <name val="Sarabun"/>
    </font>
    <font>
      <sz val="13"/>
      <color theme="1"/>
      <name val="Sarabun"/>
    </font>
    <font>
      <sz val="13"/>
      <color rgb="FFFF0000"/>
      <name val="Sarabun"/>
    </font>
    <font>
      <sz val="13"/>
      <color rgb="FF000000"/>
      <name val="Sarabun"/>
    </font>
    <font>
      <sz val="12"/>
      <color rgb="FFFF0000"/>
      <name val="&quot;Cordia New&quot;"/>
    </font>
    <font>
      <sz val="12"/>
      <color theme="1"/>
      <name val="&quot;Cordia New&quot;"/>
    </font>
    <font>
      <b/>
      <sz val="15"/>
      <color theme="1"/>
      <name val="TH SarabunPSK"/>
    </font>
    <font>
      <sz val="14"/>
      <color rgb="FF000000"/>
      <name val="TH SarabunPSK"/>
    </font>
    <font>
      <sz val="16"/>
      <color theme="1"/>
      <name val="TH SarabunPSK"/>
    </font>
    <font>
      <sz val="15"/>
      <color rgb="FF00000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4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4" fontId="1" fillId="0" borderId="5" xfId="0" applyNumberFormat="1" applyFont="1" applyBorder="1"/>
    <xf numFmtId="0" fontId="4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1" fillId="0" borderId="5" xfId="0" applyNumberFormat="1" applyFont="1" applyBorder="1"/>
    <xf numFmtId="2" fontId="4" fillId="0" borderId="5" xfId="0" applyNumberFormat="1" applyFont="1" applyBorder="1"/>
    <xf numFmtId="4" fontId="4" fillId="0" borderId="5" xfId="0" applyNumberFormat="1" applyFont="1" applyBorder="1"/>
    <xf numFmtId="0" fontId="4" fillId="0" borderId="5" xfId="0" applyFont="1" applyBorder="1"/>
    <xf numFmtId="4" fontId="1" fillId="2" borderId="5" xfId="0" applyNumberFormat="1" applyFont="1" applyFill="1" applyBorder="1"/>
    <xf numFmtId="3" fontId="4" fillId="0" borderId="0" xfId="0" applyNumberFormat="1" applyFont="1" applyAlignment="1">
      <alignment horizontal="center"/>
    </xf>
    <xf numFmtId="4" fontId="1" fillId="3" borderId="5" xfId="0" applyNumberFormat="1" applyFont="1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" fontId="4" fillId="0" borderId="5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5" xfId="0" applyNumberFormat="1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4" fontId="6" fillId="0" borderId="5" xfId="0" applyNumberFormat="1" applyFont="1" applyBorder="1" applyAlignment="1">
      <alignment horizontal="center"/>
    </xf>
    <xf numFmtId="4" fontId="6" fillId="0" borderId="5" xfId="0" applyNumberFormat="1" applyFont="1" applyBorder="1"/>
    <xf numFmtId="0" fontId="6" fillId="0" borderId="5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/>
    </xf>
    <xf numFmtId="4" fontId="8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4" fontId="6" fillId="3" borderId="5" xfId="0" applyNumberFormat="1" applyFont="1" applyFill="1" applyBorder="1" applyAlignment="1">
      <alignment horizontal="center"/>
    </xf>
    <xf numFmtId="4" fontId="6" fillId="3" borderId="5" xfId="0" applyNumberFormat="1" applyFont="1" applyFill="1" applyBorder="1"/>
    <xf numFmtId="4" fontId="9" fillId="0" borderId="5" xfId="0" applyNumberFormat="1" applyFont="1" applyBorder="1" applyAlignment="1">
      <alignment horizontal="left"/>
    </xf>
    <xf numFmtId="4" fontId="10" fillId="0" borderId="5" xfId="0" applyNumberFormat="1" applyFont="1" applyBorder="1" applyAlignment="1">
      <alignment horizontal="left"/>
    </xf>
    <xf numFmtId="4" fontId="1" fillId="0" borderId="0" xfId="0" applyNumberFormat="1" applyFont="1"/>
    <xf numFmtId="4" fontId="11" fillId="0" borderId="5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left"/>
    </xf>
    <xf numFmtId="4" fontId="1" fillId="0" borderId="5" xfId="0" applyNumberFormat="1" applyFont="1" applyBorder="1" applyAlignment="1">
      <alignment horizontal="right"/>
    </xf>
    <xf numFmtId="4" fontId="1" fillId="0" borderId="1" xfId="0" applyNumberFormat="1" applyFont="1" applyBorder="1"/>
    <xf numFmtId="4" fontId="1" fillId="0" borderId="5" xfId="0" applyNumberFormat="1" applyFont="1" applyBorder="1" applyAlignment="1">
      <alignment horizontal="center"/>
    </xf>
    <xf numFmtId="3" fontId="1" fillId="2" borderId="5" xfId="0" applyNumberFormat="1" applyFont="1" applyFill="1" applyBorder="1"/>
    <xf numFmtId="4" fontId="1" fillId="2" borderId="5" xfId="0" applyNumberFormat="1" applyFont="1" applyFill="1" applyBorder="1" applyAlignment="1">
      <alignment horizontal="left"/>
    </xf>
    <xf numFmtId="4" fontId="1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 applyAlignment="1">
      <alignment horizontal="center"/>
    </xf>
    <xf numFmtId="4" fontId="1" fillId="0" borderId="5" xfId="0" quotePrefix="1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left" vertical="center"/>
    </xf>
    <xf numFmtId="4" fontId="1" fillId="0" borderId="5" xfId="0" applyNumberFormat="1" applyFont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/>
    </xf>
    <xf numFmtId="4" fontId="11" fillId="3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right"/>
    </xf>
    <xf numFmtId="4" fontId="12" fillId="0" borderId="5" xfId="0" applyNumberFormat="1" applyFont="1" applyBorder="1" applyAlignment="1">
      <alignment horizontal="right"/>
    </xf>
    <xf numFmtId="4" fontId="12" fillId="0" borderId="5" xfId="0" applyNumberFormat="1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4" fontId="13" fillId="0" borderId="5" xfId="0" applyNumberFormat="1" applyFont="1" applyBorder="1" applyAlignment="1">
      <alignment horizontal="right"/>
    </xf>
    <xf numFmtId="0" fontId="1" fillId="0" borderId="5" xfId="0" applyFont="1" applyBorder="1"/>
    <xf numFmtId="4" fontId="1" fillId="2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4" fillId="0" borderId="5" xfId="0" applyNumberFormat="1" applyFont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1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0" borderId="6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4" fontId="11" fillId="0" borderId="2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4" fontId="1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อัตรา!$E$2</c:f>
              <c:strCache>
                <c:ptCount val="1"/>
                <c:pt idx="0">
                  <c:v>ธ.ค. 67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อัตรา!$E$3:$E$8</c:f>
              <c:numCache>
                <c:formatCode>General</c:formatCode>
                <c:ptCount val="6"/>
                <c:pt idx="0">
                  <c:v>22.15</c:v>
                </c:pt>
                <c:pt idx="1">
                  <c:v>15.89</c:v>
                </c:pt>
                <c:pt idx="2">
                  <c:v>28.24</c:v>
                </c:pt>
                <c:pt idx="3">
                  <c:v>24.27</c:v>
                </c:pt>
                <c:pt idx="4">
                  <c:v>25.54</c:v>
                </c:pt>
                <c:pt idx="5">
                  <c:v>15.54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21-4139-ACD5-5DBBAB666714}"/>
            </c:ext>
          </c:extLst>
        </c:ser>
        <c:ser>
          <c:idx val="1"/>
          <c:order val="1"/>
          <c:tx>
            <c:strRef>
              <c:f>อัตรา!$F$2</c:f>
              <c:strCache>
                <c:ptCount val="1"/>
                <c:pt idx="0">
                  <c:v>ม.ค.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อัตรา!$F$3:$F$8</c:f>
              <c:numCache>
                <c:formatCode>General</c:formatCode>
                <c:ptCount val="6"/>
                <c:pt idx="0">
                  <c:v>22.51</c:v>
                </c:pt>
                <c:pt idx="1">
                  <c:v>24.22</c:v>
                </c:pt>
                <c:pt idx="2">
                  <c:v>25.64</c:v>
                </c:pt>
                <c:pt idx="3">
                  <c:v>20.34</c:v>
                </c:pt>
                <c:pt idx="4">
                  <c:v>28.28</c:v>
                </c:pt>
                <c:pt idx="5">
                  <c:v>17.46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21-4139-ACD5-5DBBAB666714}"/>
            </c:ext>
          </c:extLst>
        </c:ser>
        <c:ser>
          <c:idx val="2"/>
          <c:order val="2"/>
          <c:tx>
            <c:strRef>
              <c:f>อัตรา!$G$2</c:f>
              <c:strCache>
                <c:ptCount val="1"/>
                <c:pt idx="0">
                  <c:v>ก.พ.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อัตรา!$G$3:$G$8</c:f>
              <c:numCache>
                <c:formatCode>General</c:formatCode>
                <c:ptCount val="6"/>
                <c:pt idx="0">
                  <c:v>20.07</c:v>
                </c:pt>
                <c:pt idx="1">
                  <c:v>30.77</c:v>
                </c:pt>
                <c:pt idx="2">
                  <c:v>20.190000000000001</c:v>
                </c:pt>
                <c:pt idx="3">
                  <c:v>18.32</c:v>
                </c:pt>
                <c:pt idx="4">
                  <c:v>28.94</c:v>
                </c:pt>
                <c:pt idx="5">
                  <c:v>21.77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B21-4139-ACD5-5DBBAB666714}"/>
            </c:ext>
          </c:extLst>
        </c:ser>
        <c:ser>
          <c:idx val="3"/>
          <c:order val="3"/>
          <c:tx>
            <c:strRef>
              <c:f>อัตรา!$H$2</c:f>
              <c:strCache>
                <c:ptCount val="1"/>
                <c:pt idx="0">
                  <c:v>มี.ค.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อัตรา!$H$3:$H$8</c:f>
              <c:numCache>
                <c:formatCode>General</c:formatCode>
                <c:ptCount val="6"/>
                <c:pt idx="0">
                  <c:v>19.23</c:v>
                </c:pt>
                <c:pt idx="1">
                  <c:v>14.22</c:v>
                </c:pt>
                <c:pt idx="2">
                  <c:v>24.32</c:v>
                </c:pt>
                <c:pt idx="3">
                  <c:v>19.989999999999998</c:v>
                </c:pt>
                <c:pt idx="4">
                  <c:v>29.26</c:v>
                </c:pt>
                <c:pt idx="5">
                  <c:v>24.43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B21-4139-ACD5-5DBBAB666714}"/>
            </c:ext>
          </c:extLst>
        </c:ser>
        <c:ser>
          <c:idx val="4"/>
          <c:order val="4"/>
          <c:tx>
            <c:strRef>
              <c:f>อัตรา!$I$2</c:f>
              <c:strCache>
                <c:ptCount val="1"/>
                <c:pt idx="0">
                  <c:v>เม.ย.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อัตรา!$I$3:$I$8</c:f>
              <c:numCache>
                <c:formatCode>General</c:formatCode>
                <c:ptCount val="6"/>
                <c:pt idx="0">
                  <c:v>23.2</c:v>
                </c:pt>
                <c:pt idx="1">
                  <c:v>23.66</c:v>
                </c:pt>
                <c:pt idx="2">
                  <c:v>25.42</c:v>
                </c:pt>
                <c:pt idx="3">
                  <c:v>20.09</c:v>
                </c:pt>
                <c:pt idx="4">
                  <c:v>29.43</c:v>
                </c:pt>
                <c:pt idx="5">
                  <c:v>22.54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EB21-4139-ACD5-5DBBAB666714}"/>
            </c:ext>
          </c:extLst>
        </c:ser>
        <c:ser>
          <c:idx val="5"/>
          <c:order val="5"/>
          <c:tx>
            <c:strRef>
              <c:f>อัตรา!$J$2</c:f>
              <c:strCache>
                <c:ptCount val="1"/>
                <c:pt idx="0">
                  <c:v>พ.ค.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อัตรา!$J$3:$J$8</c:f>
              <c:numCache>
                <c:formatCode>General</c:formatCode>
                <c:ptCount val="6"/>
                <c:pt idx="0">
                  <c:v>23.36</c:v>
                </c:pt>
                <c:pt idx="1">
                  <c:v>22.13</c:v>
                </c:pt>
                <c:pt idx="2">
                  <c:v>26.11</c:v>
                </c:pt>
                <c:pt idx="3">
                  <c:v>21.77</c:v>
                </c:pt>
                <c:pt idx="4">
                  <c:v>31.61</c:v>
                </c:pt>
                <c:pt idx="5">
                  <c:v>26.39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EB21-4139-ACD5-5DBBAB666714}"/>
            </c:ext>
          </c:extLst>
        </c:ser>
        <c:ser>
          <c:idx val="6"/>
          <c:order val="6"/>
          <c:tx>
            <c:strRef>
              <c:f>อัตรา!$K$2</c:f>
              <c:strCache>
                <c:ptCount val="1"/>
                <c:pt idx="0">
                  <c:v>มิ.ย.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อัตรา!$K$3:$K$8</c:f>
              <c:numCache>
                <c:formatCode>General</c:formatCode>
                <c:ptCount val="6"/>
                <c:pt idx="0">
                  <c:v>22.69</c:v>
                </c:pt>
                <c:pt idx="1">
                  <c:v>27.7</c:v>
                </c:pt>
                <c:pt idx="2">
                  <c:v>25.89</c:v>
                </c:pt>
                <c:pt idx="3">
                  <c:v>20.11</c:v>
                </c:pt>
                <c:pt idx="4">
                  <c:v>34.700000000000003</c:v>
                </c:pt>
                <c:pt idx="5">
                  <c:v>24.87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EB21-4139-ACD5-5DBBAB666714}"/>
            </c:ext>
          </c:extLst>
        </c:ser>
        <c:ser>
          <c:idx val="7"/>
          <c:order val="7"/>
          <c:tx>
            <c:strRef>
              <c:f>อัตรา!$L$2</c:f>
              <c:strCache>
                <c:ptCount val="1"/>
                <c:pt idx="0">
                  <c:v>ก.ค.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อัตรา!$L$3:$L$8</c:f>
              <c:numCache>
                <c:formatCode>General</c:formatCode>
                <c:ptCount val="6"/>
                <c:pt idx="0">
                  <c:v>21.92</c:v>
                </c:pt>
                <c:pt idx="1">
                  <c:v>23.67</c:v>
                </c:pt>
                <c:pt idx="2">
                  <c:v>23.44</c:v>
                </c:pt>
                <c:pt idx="3">
                  <c:v>26.94</c:v>
                </c:pt>
                <c:pt idx="4">
                  <c:v>35.14</c:v>
                </c:pt>
                <c:pt idx="5">
                  <c:v>24.71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EB21-4139-ACD5-5DBBAB666714}"/>
            </c:ext>
          </c:extLst>
        </c:ser>
        <c:ser>
          <c:idx val="8"/>
          <c:order val="8"/>
          <c:tx>
            <c:strRef>
              <c:f>อัตรา!$M$2</c:f>
              <c:strCache>
                <c:ptCount val="1"/>
                <c:pt idx="0">
                  <c:v>ส.ค.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อัตรา!$M$3:$M$8</c:f>
              <c:numCache>
                <c:formatCode>General</c:formatCode>
                <c:ptCount val="6"/>
                <c:pt idx="0">
                  <c:v>22.5</c:v>
                </c:pt>
                <c:pt idx="1">
                  <c:v>18.18</c:v>
                </c:pt>
                <c:pt idx="2">
                  <c:v>24.96</c:v>
                </c:pt>
                <c:pt idx="3">
                  <c:v>24.26</c:v>
                </c:pt>
                <c:pt idx="4">
                  <c:v>34.82</c:v>
                </c:pt>
                <c:pt idx="5">
                  <c:v>21.91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EB21-4139-ACD5-5DBBAB666714}"/>
            </c:ext>
          </c:extLst>
        </c:ser>
        <c:ser>
          <c:idx val="9"/>
          <c:order val="9"/>
          <c:tx>
            <c:strRef>
              <c:f>อัตรา!$N$2</c:f>
              <c:strCache>
                <c:ptCount val="1"/>
                <c:pt idx="0">
                  <c:v>ก.ย.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อัตรา!$N$3:$N$8</c:f>
              <c:numCache>
                <c:formatCode>General</c:formatCode>
                <c:ptCount val="6"/>
                <c:pt idx="0">
                  <c:v>20.87</c:v>
                </c:pt>
                <c:pt idx="1">
                  <c:v>18.2</c:v>
                </c:pt>
                <c:pt idx="2">
                  <c:v>26.83</c:v>
                </c:pt>
                <c:pt idx="3">
                  <c:v>20.28</c:v>
                </c:pt>
                <c:pt idx="4">
                  <c:v>30.31</c:v>
                </c:pt>
                <c:pt idx="5">
                  <c:v>22.48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EB21-4139-ACD5-5DBBAB666714}"/>
            </c:ext>
          </c:extLst>
        </c:ser>
        <c:ser>
          <c:idx val="10"/>
          <c:order val="10"/>
          <c:tx>
            <c:strRef>
              <c:f>อัตรา!$O$2</c:f>
              <c:strCache>
                <c:ptCount val="1"/>
                <c:pt idx="0">
                  <c:v>ต.ค.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อัตรา!$O$3:$O$8</c:f>
              <c:numCache>
                <c:formatCode>0.00</c:formatCode>
                <c:ptCount val="6"/>
                <c:pt idx="0">
                  <c:v>23.194085920110176</c:v>
                </c:pt>
                <c:pt idx="1">
                  <c:v>23.490939922093386</c:v>
                </c:pt>
                <c:pt idx="2">
                  <c:v>30.737660834734033</c:v>
                </c:pt>
                <c:pt idx="3">
                  <c:v>25.616319937405745</c:v>
                </c:pt>
                <c:pt idx="4">
                  <c:v>35.487825192505937</c:v>
                </c:pt>
                <c:pt idx="5">
                  <c:v>28.397525021926796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EB21-4139-ACD5-5DBBAB666714}"/>
            </c:ext>
          </c:extLst>
        </c:ser>
        <c:ser>
          <c:idx val="11"/>
          <c:order val="11"/>
          <c:tx>
            <c:strRef>
              <c:f>อัตรา!$P$2</c:f>
              <c:strCache>
                <c:ptCount val="1"/>
                <c:pt idx="0">
                  <c:v>พ.ย.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B21-4139-ACD5-5DBBAB666714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อัตรา!$P$3:$P$8</c:f>
              <c:numCache>
                <c:formatCode>#,##0.00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EB21-4139-ACD5-5DBBAB666714}"/>
            </c:ext>
          </c:extLst>
        </c:ser>
        <c:ser>
          <c:idx val="12"/>
          <c:order val="12"/>
          <c:tx>
            <c:strRef>
              <c:f>อัตรา!$Q$2</c:f>
              <c:strCache>
                <c:ptCount val="1"/>
                <c:pt idx="0">
                  <c:v>ธ.ค. 68</c:v>
                </c:pt>
              </c:strCache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EB21-4139-ACD5-5DBBAB666714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อัตรา!$Q$3:$Q$8</c:f>
              <c:numCache>
                <c:formatCode>#,##0.00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EB21-4139-ACD5-5DBBAB666714}"/>
            </c:ext>
          </c:extLst>
        </c:ser>
        <c:ser>
          <c:idx val="13"/>
          <c:order val="13"/>
          <c:tx>
            <c:strRef>
              <c:f>อัตรา!$R$2</c:f>
              <c:strCache>
                <c:ptCount val="1"/>
                <c:pt idx="0">
                  <c:v>ม.ค. 69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EB21-4139-ACD5-5DBBAB66671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EB21-4139-ACD5-5DBBAB666714}"/>
              </c:ext>
            </c:extLst>
          </c:dPt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อัตรา!$R$3:$R$8</c:f>
              <c:numCache>
                <c:formatCode>#,##0.00</c:formatCode>
                <c:ptCount val="6"/>
                <c:pt idx="0">
                  <c:v>25.470582374570039</c:v>
                </c:pt>
                <c:pt idx="1">
                  <c:v>20.267585988545829</c:v>
                </c:pt>
                <c:pt idx="2">
                  <c:v>28.591624389765375</c:v>
                </c:pt>
                <c:pt idx="3">
                  <c:v>19.648354059370554</c:v>
                </c:pt>
                <c:pt idx="4">
                  <c:v>30.682490508529959</c:v>
                </c:pt>
                <c:pt idx="5">
                  <c:v>24.373788246829942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EB21-4139-ACD5-5DBBAB666714}"/>
            </c:ext>
          </c:extLst>
        </c:ser>
        <c:ser>
          <c:idx val="14"/>
          <c:order val="14"/>
          <c:tx>
            <c:strRef>
              <c:f>อัตรา!$S$2</c:f>
              <c:strCache>
                <c:ptCount val="1"/>
                <c:pt idx="0">
                  <c:v>ก.พ.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อัตรา!$S$3:$S$8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9-EB21-4139-ACD5-5DBBAB666714}"/>
            </c:ext>
          </c:extLst>
        </c:ser>
        <c:ser>
          <c:idx val="15"/>
          <c:order val="15"/>
          <c:tx>
            <c:strRef>
              <c:f>อัตรา!$T$2</c:f>
              <c:strCache>
                <c:ptCount val="1"/>
                <c:pt idx="0">
                  <c:v>มี.ค.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อัตรา!$T$3:$T$8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A-EB21-4139-ACD5-5DBBAB666714}"/>
            </c:ext>
          </c:extLst>
        </c:ser>
        <c:ser>
          <c:idx val="16"/>
          <c:order val="16"/>
          <c:tx>
            <c:strRef>
              <c:f>อัตรา!$U$2</c:f>
              <c:strCache>
                <c:ptCount val="1"/>
                <c:pt idx="0">
                  <c:v>เม.ย.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อัตรา!$U$3:$U$8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B-EB21-4139-ACD5-5DBBAB666714}"/>
            </c:ext>
          </c:extLst>
        </c:ser>
        <c:ser>
          <c:idx val="17"/>
          <c:order val="17"/>
          <c:tx>
            <c:strRef>
              <c:f>อัตรา!$V$2</c:f>
              <c:strCache>
                <c:ptCount val="1"/>
                <c:pt idx="0">
                  <c:v>พ.ค.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อัตรา!$V$3:$V$8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C-EB21-4139-ACD5-5DBBAB666714}"/>
            </c:ext>
          </c:extLst>
        </c:ser>
        <c:ser>
          <c:idx val="18"/>
          <c:order val="18"/>
          <c:tx>
            <c:strRef>
              <c:f>อัตรา!$W$2</c:f>
              <c:strCache>
                <c:ptCount val="1"/>
                <c:pt idx="0">
                  <c:v>มิ.ย.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อัตรา!$W$3:$W$8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D-EB21-4139-ACD5-5DBBAB666714}"/>
            </c:ext>
          </c:extLst>
        </c:ser>
        <c:ser>
          <c:idx val="19"/>
          <c:order val="19"/>
          <c:tx>
            <c:strRef>
              <c:f>อัตรา!$X$2</c:f>
              <c:strCache>
                <c:ptCount val="1"/>
                <c:pt idx="0">
                  <c:v>ก.ค.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อัตรา!$X$3:$X$8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E-EB21-4139-ACD5-5DBBAB666714}"/>
            </c:ext>
          </c:extLst>
        </c:ser>
        <c:ser>
          <c:idx val="20"/>
          <c:order val="20"/>
          <c:tx>
            <c:strRef>
              <c:f>อัตรา!$Y$2</c:f>
              <c:strCache>
                <c:ptCount val="1"/>
                <c:pt idx="0">
                  <c:v>ส.ค.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อัตรา!$Y$3:$Y$8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F-EB21-4139-ACD5-5DBBAB666714}"/>
            </c:ext>
          </c:extLst>
        </c:ser>
        <c:ser>
          <c:idx val="21"/>
          <c:order val="21"/>
          <c:tx>
            <c:strRef>
              <c:f>อัตรา!$Z$2</c:f>
              <c:strCache>
                <c:ptCount val="1"/>
                <c:pt idx="0">
                  <c:v>ก.ย. 69</c:v>
                </c:pt>
              </c:strCache>
            </c:strRef>
          </c:tx>
          <c:invertIfNegative val="1"/>
          <c:cat>
            <c:strRef>
              <c:f>อัตรา!$B$3:$B$8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อัตรา!$Z$3:$Z$8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0-EB21-4139-ACD5-5DBBAB66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06500"/>
        <c:axId val="146973530"/>
      </c:barChart>
      <c:catAx>
        <c:axId val="1742706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46973530"/>
        <c:crosses val="autoZero"/>
        <c:auto val="1"/>
        <c:lblAlgn val="ctr"/>
        <c:lblOffset val="100"/>
        <c:noMultiLvlLbl val="1"/>
      </c:catAx>
      <c:valAx>
        <c:axId val="146973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7427065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EC6-4228-ACC2-C6D8AF1ECFDB}"/>
              </c:ext>
            </c:extLst>
          </c:dPt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อัตรา!$E$9:$E$14</c:f>
              <c:numCache>
                <c:formatCode>General</c:formatCode>
                <c:ptCount val="6"/>
                <c:pt idx="0">
                  <c:v>14.64</c:v>
                </c:pt>
                <c:pt idx="1">
                  <c:v>11.82</c:v>
                </c:pt>
                <c:pt idx="2">
                  <c:v>27.32</c:v>
                </c:pt>
                <c:pt idx="3">
                  <c:v>30.06</c:v>
                </c:pt>
                <c:pt idx="4">
                  <c:v>11.33</c:v>
                </c:pt>
                <c:pt idx="5">
                  <c:v>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C6-4228-ACC2-C6D8AF1ECFDB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EC6-4228-ACC2-C6D8AF1ECFDB}"/>
              </c:ext>
            </c:extLst>
          </c:dPt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อัตรา!$F$9:$F$14</c:f>
              <c:numCache>
                <c:formatCode>General</c:formatCode>
                <c:ptCount val="6"/>
                <c:pt idx="0">
                  <c:v>12.32</c:v>
                </c:pt>
                <c:pt idx="1">
                  <c:v>11.22</c:v>
                </c:pt>
                <c:pt idx="2">
                  <c:v>25.8</c:v>
                </c:pt>
                <c:pt idx="3">
                  <c:v>37.11</c:v>
                </c:pt>
                <c:pt idx="4">
                  <c:v>15.62</c:v>
                </c:pt>
                <c:pt idx="5">
                  <c:v>30.6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EC6-4228-ACC2-C6D8AF1ECFDB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อัตรา!$G$9:$G$14</c:f>
              <c:numCache>
                <c:formatCode>General</c:formatCode>
                <c:ptCount val="6"/>
                <c:pt idx="0">
                  <c:v>14.08</c:v>
                </c:pt>
                <c:pt idx="1">
                  <c:v>9.14</c:v>
                </c:pt>
                <c:pt idx="2">
                  <c:v>25.83</c:v>
                </c:pt>
                <c:pt idx="3">
                  <c:v>35.32</c:v>
                </c:pt>
                <c:pt idx="4">
                  <c:v>14.14</c:v>
                </c:pt>
                <c:pt idx="5">
                  <c:v>31.93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EC6-4228-ACC2-C6D8AF1ECFDB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อัตรา!$H$9:$H$14</c:f>
              <c:numCache>
                <c:formatCode>General</c:formatCode>
                <c:ptCount val="6"/>
                <c:pt idx="0">
                  <c:v>14.91</c:v>
                </c:pt>
                <c:pt idx="1">
                  <c:v>8.34</c:v>
                </c:pt>
                <c:pt idx="2">
                  <c:v>27.34</c:v>
                </c:pt>
                <c:pt idx="3">
                  <c:v>24.22</c:v>
                </c:pt>
                <c:pt idx="4">
                  <c:v>10.23</c:v>
                </c:pt>
                <c:pt idx="5">
                  <c:v>27.37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EC6-4228-ACC2-C6D8AF1ECFDB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อัตรา!$I$9:$I$14</c:f>
              <c:numCache>
                <c:formatCode>General</c:formatCode>
                <c:ptCount val="6"/>
                <c:pt idx="0">
                  <c:v>11.37</c:v>
                </c:pt>
                <c:pt idx="1">
                  <c:v>7.41</c:v>
                </c:pt>
                <c:pt idx="2">
                  <c:v>23.75</c:v>
                </c:pt>
                <c:pt idx="3">
                  <c:v>31.16</c:v>
                </c:pt>
                <c:pt idx="4">
                  <c:v>10.58</c:v>
                </c:pt>
                <c:pt idx="5">
                  <c:v>26.22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EC6-4228-ACC2-C6D8AF1ECFDB}"/>
            </c:ext>
          </c:extLst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อัตรา!$J$9:$J$14</c:f>
              <c:numCache>
                <c:formatCode>General</c:formatCode>
                <c:ptCount val="6"/>
                <c:pt idx="0">
                  <c:v>15.88</c:v>
                </c:pt>
                <c:pt idx="1">
                  <c:v>8.0399999999999991</c:v>
                </c:pt>
                <c:pt idx="2">
                  <c:v>29.65</c:v>
                </c:pt>
                <c:pt idx="3">
                  <c:v>31.38</c:v>
                </c:pt>
                <c:pt idx="4">
                  <c:v>17.03</c:v>
                </c:pt>
                <c:pt idx="5">
                  <c:v>27.27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DEC6-4228-ACC2-C6D8AF1ECFDB}"/>
            </c:ext>
          </c:extLst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อัตรา!$K$9:$K$14</c:f>
              <c:numCache>
                <c:formatCode>General</c:formatCode>
                <c:ptCount val="6"/>
                <c:pt idx="0">
                  <c:v>13.68</c:v>
                </c:pt>
                <c:pt idx="1">
                  <c:v>10</c:v>
                </c:pt>
                <c:pt idx="2">
                  <c:v>29.2</c:v>
                </c:pt>
                <c:pt idx="3">
                  <c:v>30.63</c:v>
                </c:pt>
                <c:pt idx="4">
                  <c:v>13.29</c:v>
                </c:pt>
                <c:pt idx="5">
                  <c:v>17.98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EC6-4228-ACC2-C6D8AF1ECFDB}"/>
            </c:ext>
          </c:extLst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อัตรา!$L$9:$L$14</c:f>
              <c:numCache>
                <c:formatCode>General</c:formatCode>
                <c:ptCount val="6"/>
                <c:pt idx="0">
                  <c:v>10.19</c:v>
                </c:pt>
                <c:pt idx="1">
                  <c:v>8.85</c:v>
                </c:pt>
                <c:pt idx="2">
                  <c:v>28.99</c:v>
                </c:pt>
                <c:pt idx="3">
                  <c:v>31.38</c:v>
                </c:pt>
                <c:pt idx="4">
                  <c:v>16.440000000000001</c:v>
                </c:pt>
                <c:pt idx="5">
                  <c:v>20.11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DEC6-4228-ACC2-C6D8AF1ECFDB}"/>
            </c:ext>
          </c:extLst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อัตรา!$M$9:$M$14</c:f>
              <c:numCache>
                <c:formatCode>General</c:formatCode>
                <c:ptCount val="6"/>
                <c:pt idx="0">
                  <c:v>8.67</c:v>
                </c:pt>
                <c:pt idx="1">
                  <c:v>1.17</c:v>
                </c:pt>
                <c:pt idx="2">
                  <c:v>26.97</c:v>
                </c:pt>
                <c:pt idx="3">
                  <c:v>30.12</c:v>
                </c:pt>
                <c:pt idx="4">
                  <c:v>13.21</c:v>
                </c:pt>
                <c:pt idx="5">
                  <c:v>22.09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DEC6-4228-ACC2-C6D8AF1ECFDB}"/>
            </c:ext>
          </c:extLst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อัตรา!$N$9:$N$14</c:f>
              <c:numCache>
                <c:formatCode>General</c:formatCode>
                <c:ptCount val="6"/>
                <c:pt idx="0">
                  <c:v>9.16</c:v>
                </c:pt>
                <c:pt idx="1">
                  <c:v>7.41</c:v>
                </c:pt>
                <c:pt idx="2">
                  <c:v>22.85</c:v>
                </c:pt>
                <c:pt idx="3">
                  <c:v>28.45</c:v>
                </c:pt>
                <c:pt idx="4">
                  <c:v>11.06</c:v>
                </c:pt>
                <c:pt idx="5">
                  <c:v>24.17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DEC6-4228-ACC2-C6D8AF1ECFDB}"/>
            </c:ext>
          </c:extLst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อัตรา!$O$9:$O$14</c:f>
              <c:numCache>
                <c:formatCode>0.00</c:formatCode>
                <c:ptCount val="6"/>
                <c:pt idx="0">
                  <c:v>11.324657890096304</c:v>
                </c:pt>
                <c:pt idx="1">
                  <c:v>13.455323647924292</c:v>
                </c:pt>
                <c:pt idx="2">
                  <c:v>32.464967250840857</c:v>
                </c:pt>
                <c:pt idx="3">
                  <c:v>30.022146852615862</c:v>
                </c:pt>
                <c:pt idx="4">
                  <c:v>16.077662278804773</c:v>
                </c:pt>
                <c:pt idx="5">
                  <c:v>26.171532673404101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DEC6-4228-ACC2-C6D8AF1ECFDB}"/>
            </c:ext>
          </c:extLst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อัตรา!$P$9:$P$14</c:f>
              <c:numCache>
                <c:formatCode>#,##0.00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DEC6-4228-ACC2-C6D8AF1ECFDB}"/>
            </c:ext>
          </c:extLst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อัตรา!$Q$9:$Q$14</c:f>
              <c:numCache>
                <c:formatCode>#,##0.00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DEC6-4228-ACC2-C6D8AF1E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206921"/>
        <c:axId val="716971735"/>
      </c:barChart>
      <c:catAx>
        <c:axId val="439206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716971735"/>
        <c:crosses val="autoZero"/>
        <c:auto val="1"/>
        <c:lblAlgn val="ctr"/>
        <c:lblOffset val="100"/>
        <c:noMultiLvlLbl val="1"/>
      </c:catAx>
      <c:valAx>
        <c:axId val="716971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43920692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อัตรา!$E$15:$E$20</c:f>
              <c:numCache>
                <c:formatCode>General</c:formatCode>
                <c:ptCount val="6"/>
                <c:pt idx="0">
                  <c:v>48.14</c:v>
                </c:pt>
                <c:pt idx="1">
                  <c:v>31.73</c:v>
                </c:pt>
                <c:pt idx="2">
                  <c:v>46.29</c:v>
                </c:pt>
                <c:pt idx="3">
                  <c:v>62.45</c:v>
                </c:pt>
                <c:pt idx="4">
                  <c:v>38.86</c:v>
                </c:pt>
                <c:pt idx="5">
                  <c:v>42.06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EE-40F0-9E3F-2CE0BA01E2BA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อัตรา!$F$15:$F$20</c:f>
              <c:numCache>
                <c:formatCode>General</c:formatCode>
                <c:ptCount val="6"/>
                <c:pt idx="0">
                  <c:v>47.43</c:v>
                </c:pt>
                <c:pt idx="1">
                  <c:v>35.619999999999997</c:v>
                </c:pt>
                <c:pt idx="2">
                  <c:v>46.9</c:v>
                </c:pt>
                <c:pt idx="3">
                  <c:v>55.68</c:v>
                </c:pt>
                <c:pt idx="4">
                  <c:v>38.74</c:v>
                </c:pt>
                <c:pt idx="5">
                  <c:v>39.58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EE-40F0-9E3F-2CE0BA01E2BA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อัตรา!$G$15:$G$20</c:f>
              <c:numCache>
                <c:formatCode>General</c:formatCode>
                <c:ptCount val="6"/>
                <c:pt idx="0">
                  <c:v>42.45</c:v>
                </c:pt>
                <c:pt idx="1">
                  <c:v>32.700000000000003</c:v>
                </c:pt>
                <c:pt idx="2">
                  <c:v>48.63</c:v>
                </c:pt>
                <c:pt idx="3">
                  <c:v>58.17</c:v>
                </c:pt>
                <c:pt idx="4">
                  <c:v>39.93</c:v>
                </c:pt>
                <c:pt idx="5">
                  <c:v>34.770000000000003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EE-40F0-9E3F-2CE0BA01E2BA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อัตรา!$H$15:$H$20</c:f>
              <c:numCache>
                <c:formatCode>General</c:formatCode>
                <c:ptCount val="6"/>
                <c:pt idx="0">
                  <c:v>44.1</c:v>
                </c:pt>
                <c:pt idx="1">
                  <c:v>31.94</c:v>
                </c:pt>
                <c:pt idx="2">
                  <c:v>47.59</c:v>
                </c:pt>
                <c:pt idx="3">
                  <c:v>55.96</c:v>
                </c:pt>
                <c:pt idx="4">
                  <c:v>40.159999999999997</c:v>
                </c:pt>
                <c:pt idx="5">
                  <c:v>37.380000000000003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0EE-40F0-9E3F-2CE0BA01E2BA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อัตรา!$I$15:$I$20</c:f>
              <c:numCache>
                <c:formatCode>General</c:formatCode>
                <c:ptCount val="6"/>
                <c:pt idx="0">
                  <c:v>44.45</c:v>
                </c:pt>
                <c:pt idx="1">
                  <c:v>29.21</c:v>
                </c:pt>
                <c:pt idx="2">
                  <c:v>44.7</c:v>
                </c:pt>
                <c:pt idx="3">
                  <c:v>53.01</c:v>
                </c:pt>
                <c:pt idx="4">
                  <c:v>40</c:v>
                </c:pt>
                <c:pt idx="5">
                  <c:v>33.75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0EE-40F0-9E3F-2CE0BA01E2BA}"/>
            </c:ext>
          </c:extLst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อัตรา!$J$15:$J$20</c:f>
              <c:numCache>
                <c:formatCode>General</c:formatCode>
                <c:ptCount val="6"/>
                <c:pt idx="0">
                  <c:v>46.27</c:v>
                </c:pt>
                <c:pt idx="1">
                  <c:v>32.85</c:v>
                </c:pt>
                <c:pt idx="2">
                  <c:v>49.69</c:v>
                </c:pt>
                <c:pt idx="3">
                  <c:v>56.69</c:v>
                </c:pt>
                <c:pt idx="4">
                  <c:v>40.89</c:v>
                </c:pt>
                <c:pt idx="5">
                  <c:v>45.38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0EE-40F0-9E3F-2CE0BA01E2BA}"/>
            </c:ext>
          </c:extLst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อัตรา!$K$15:$K$20</c:f>
              <c:numCache>
                <c:formatCode>General</c:formatCode>
                <c:ptCount val="6"/>
                <c:pt idx="0">
                  <c:v>42.25</c:v>
                </c:pt>
                <c:pt idx="1">
                  <c:v>27.63</c:v>
                </c:pt>
                <c:pt idx="2">
                  <c:v>42.53</c:v>
                </c:pt>
                <c:pt idx="3">
                  <c:v>55.31</c:v>
                </c:pt>
                <c:pt idx="4">
                  <c:v>40.409999999999997</c:v>
                </c:pt>
                <c:pt idx="5">
                  <c:v>33.549999999999997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0EE-40F0-9E3F-2CE0BA01E2BA}"/>
            </c:ext>
          </c:extLst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อัตรา!$L$15:$L$20</c:f>
              <c:numCache>
                <c:formatCode>General</c:formatCode>
                <c:ptCount val="6"/>
                <c:pt idx="0">
                  <c:v>50.47</c:v>
                </c:pt>
                <c:pt idx="1">
                  <c:v>33.08</c:v>
                </c:pt>
                <c:pt idx="2">
                  <c:v>52.85</c:v>
                </c:pt>
                <c:pt idx="3">
                  <c:v>60.28</c:v>
                </c:pt>
                <c:pt idx="4">
                  <c:v>47.46</c:v>
                </c:pt>
                <c:pt idx="5">
                  <c:v>38.71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70EE-40F0-9E3F-2CE0BA01E2BA}"/>
            </c:ext>
          </c:extLst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อัตรา!$M$15:$M$20</c:f>
              <c:numCache>
                <c:formatCode>General</c:formatCode>
                <c:ptCount val="6"/>
                <c:pt idx="0">
                  <c:v>46.35</c:v>
                </c:pt>
                <c:pt idx="1">
                  <c:v>34.770000000000003</c:v>
                </c:pt>
                <c:pt idx="2">
                  <c:v>53.09</c:v>
                </c:pt>
                <c:pt idx="3">
                  <c:v>59.32</c:v>
                </c:pt>
                <c:pt idx="4">
                  <c:v>46.56</c:v>
                </c:pt>
                <c:pt idx="5">
                  <c:v>35.380000000000003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70EE-40F0-9E3F-2CE0BA01E2BA}"/>
            </c:ext>
          </c:extLst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อัตรา!$N$15:$N$20</c:f>
              <c:numCache>
                <c:formatCode>General</c:formatCode>
                <c:ptCount val="6"/>
                <c:pt idx="0">
                  <c:v>45.09</c:v>
                </c:pt>
                <c:pt idx="1">
                  <c:v>35.119999999999997</c:v>
                </c:pt>
                <c:pt idx="2">
                  <c:v>55.4</c:v>
                </c:pt>
                <c:pt idx="3">
                  <c:v>58</c:v>
                </c:pt>
                <c:pt idx="4">
                  <c:v>46.92</c:v>
                </c:pt>
                <c:pt idx="5">
                  <c:v>35.56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70EE-40F0-9E3F-2CE0BA01E2BA}"/>
            </c:ext>
          </c:extLst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อัตรา!$O$15:$O$20</c:f>
              <c:numCache>
                <c:formatCode>0.00</c:formatCode>
                <c:ptCount val="6"/>
                <c:pt idx="0">
                  <c:v>50.2083995640795</c:v>
                </c:pt>
                <c:pt idx="1">
                  <c:v>33.413475273503622</c:v>
                </c:pt>
                <c:pt idx="2">
                  <c:v>57.449456089148313</c:v>
                </c:pt>
                <c:pt idx="3">
                  <c:v>61.583027731284922</c:v>
                </c:pt>
                <c:pt idx="4">
                  <c:v>58.623611618084162</c:v>
                </c:pt>
                <c:pt idx="5">
                  <c:v>42.801724247468378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70EE-40F0-9E3F-2CE0BA01E2BA}"/>
            </c:ext>
          </c:extLst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อัตรา!$P$15:$P$20</c:f>
              <c:numCache>
                <c:formatCode>#,##0.00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70EE-40F0-9E3F-2CE0BA01E2BA}"/>
            </c:ext>
          </c:extLst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70EE-40F0-9E3F-2CE0BA01E2BA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70EE-40F0-9E3F-2CE0BA01E2BA}"/>
              </c:ext>
            </c:extLst>
          </c:dPt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อัตรา!$Q$15:$Q$20</c:f>
              <c:numCache>
                <c:formatCode>#,##0.00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70EE-40F0-9E3F-2CE0BA01E2BA}"/>
            </c:ext>
          </c:extLst>
        </c:ser>
        <c:ser>
          <c:idx val="13"/>
          <c:order val="1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70EE-40F0-9E3F-2CE0BA01E2BA}"/>
              </c:ext>
            </c:extLst>
          </c:dPt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อัตรา!$R$15:$R$20</c:f>
              <c:numCache>
                <c:formatCode>#,##0.00</c:formatCode>
                <c:ptCount val="6"/>
                <c:pt idx="0">
                  <c:v>41.869154894301836</c:v>
                </c:pt>
                <c:pt idx="1">
                  <c:v>37.86050642586892</c:v>
                </c:pt>
                <c:pt idx="2">
                  <c:v>51.188378701260127</c:v>
                </c:pt>
                <c:pt idx="3">
                  <c:v>55.391441628325076</c:v>
                </c:pt>
                <c:pt idx="4">
                  <c:v>58.372986928785622</c:v>
                </c:pt>
                <c:pt idx="5">
                  <c:v>38.568014829916336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70EE-40F0-9E3F-2CE0BA01E2BA}"/>
            </c:ext>
          </c:extLst>
        </c:ser>
        <c:ser>
          <c:idx val="14"/>
          <c:order val="14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อัตรา!$S$15:$S$20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70EE-40F0-9E3F-2CE0BA01E2BA}"/>
            </c:ext>
          </c:extLst>
        </c:ser>
        <c:ser>
          <c:idx val="15"/>
          <c:order val="15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อัตรา!$T$15:$T$20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70EE-40F0-9E3F-2CE0BA01E2BA}"/>
            </c:ext>
          </c:extLst>
        </c:ser>
        <c:ser>
          <c:idx val="16"/>
          <c:order val="16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อัตรา!$U$15:$U$20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70EE-40F0-9E3F-2CE0BA01E2BA}"/>
            </c:ext>
          </c:extLst>
        </c:ser>
        <c:ser>
          <c:idx val="17"/>
          <c:order val="17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อัตรา!$V$15:$V$20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70EE-40F0-9E3F-2CE0BA01E2BA}"/>
            </c:ext>
          </c:extLst>
        </c:ser>
        <c:ser>
          <c:idx val="18"/>
          <c:order val="18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อัตรา!$W$15:$W$20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70EE-40F0-9E3F-2CE0BA01E2BA}"/>
            </c:ext>
          </c:extLst>
        </c:ser>
        <c:ser>
          <c:idx val="19"/>
          <c:order val="19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อัตรา!$X$15:$X$20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70EE-40F0-9E3F-2CE0BA01E2BA}"/>
            </c:ext>
          </c:extLst>
        </c:ser>
        <c:ser>
          <c:idx val="20"/>
          <c:order val="20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อัตรา!$Y$15:$Y$20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70EE-40F0-9E3F-2CE0BA01E2BA}"/>
            </c:ext>
          </c:extLst>
        </c:ser>
        <c:ser>
          <c:idx val="21"/>
          <c:order val="21"/>
          <c:invertIfNegative val="1"/>
          <c:cat>
            <c:strRef>
              <c:f>อัตรา!$B$15:$B$20</c:f>
              <c:strCache>
                <c:ptCount val="6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  <c:pt idx="5">
                  <c:v>สระแก้ว</c:v>
                </c:pt>
              </c:strCache>
            </c:strRef>
          </c:cat>
          <c:val>
            <c:numRef>
              <c:f>อัตรา!$Z$15:$Z$20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70EE-40F0-9E3F-2CE0BA01E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047792"/>
        <c:axId val="332785217"/>
      </c:barChart>
      <c:catAx>
        <c:axId val="82204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332785217"/>
        <c:crosses val="autoZero"/>
        <c:auto val="1"/>
        <c:lblAlgn val="ctr"/>
        <c:lblOffset val="100"/>
        <c:noMultiLvlLbl val="1"/>
      </c:catAx>
      <c:valAx>
        <c:axId val="332785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8220477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อัตรา!$B$21:$B$25,อัตรา!$E$21:$E$25,อัตรา!$F$21:$F$25,อัตรา!$G$21:$G$25,อัตรา!$H$21:$H$25,อัตรา!$I$21:$I$25,อัตรา!$J$21:$J$25,อัตรา!$K$21:$K$25,อัตรา!$L$21:$L$25,อัตรา!$M$21:$M$25,อัตรา!$N$21:$N$25,อัตรา!$O$21:$O$25,อัตรา!$P$21:$P$25,อัตรา!$Q$21:$Q$25)</c:f>
              <c:strCache>
                <c:ptCount val="70"/>
                <c:pt idx="0">
                  <c:v>วัฒนานคร</c:v>
                </c:pt>
                <c:pt idx="1">
                  <c:v>อรัญประเทศ</c:v>
                </c:pt>
                <c:pt idx="2">
                  <c:v>ปราจีนบุรี</c:v>
                </c:pt>
                <c:pt idx="3">
                  <c:v>กบินทร์บุรี</c:v>
                </c:pt>
                <c:pt idx="4">
                  <c:v>ภาพรวม กปภ.ข.1</c:v>
                </c:pt>
                <c:pt idx="5">
                  <c:v>14.22</c:v>
                </c:pt>
                <c:pt idx="6">
                  <c:v>34.43</c:v>
                </c:pt>
                <c:pt idx="7">
                  <c:v>45.34</c:v>
                </c:pt>
                <c:pt idx="8">
                  <c:v>36.74</c:v>
                </c:pt>
                <c:pt idx="9">
                  <c:v>26.26</c:v>
                </c:pt>
                <c:pt idx="10">
                  <c:v>15.88</c:v>
                </c:pt>
                <c:pt idx="11">
                  <c:v>33.54</c:v>
                </c:pt>
                <c:pt idx="12">
                  <c:v>39.58</c:v>
                </c:pt>
                <c:pt idx="13">
                  <c:v>32.68</c:v>
                </c:pt>
                <c:pt idx="14">
                  <c:v>27.02</c:v>
                </c:pt>
                <c:pt idx="15">
                  <c:v>13.57</c:v>
                </c:pt>
                <c:pt idx="16">
                  <c:v>28.18</c:v>
                </c:pt>
                <c:pt idx="17">
                  <c:v>45.95</c:v>
                </c:pt>
                <c:pt idx="18">
                  <c:v>40.85</c:v>
                </c:pt>
                <c:pt idx="19">
                  <c:v>27.75</c:v>
                </c:pt>
                <c:pt idx="20">
                  <c:v>17.77</c:v>
                </c:pt>
                <c:pt idx="21">
                  <c:v>33.13</c:v>
                </c:pt>
                <c:pt idx="22">
                  <c:v>44.22</c:v>
                </c:pt>
                <c:pt idx="23">
                  <c:v>33.13</c:v>
                </c:pt>
                <c:pt idx="24">
                  <c:v>24.64</c:v>
                </c:pt>
                <c:pt idx="25">
                  <c:v>19.3</c:v>
                </c:pt>
                <c:pt idx="26">
                  <c:v>33.99</c:v>
                </c:pt>
                <c:pt idx="27">
                  <c:v>45.59</c:v>
                </c:pt>
                <c:pt idx="28">
                  <c:v>31.63</c:v>
                </c:pt>
                <c:pt idx="29">
                  <c:v>25.94</c:v>
                </c:pt>
                <c:pt idx="30">
                  <c:v>22.11</c:v>
                </c:pt>
                <c:pt idx="31">
                  <c:v>33.86</c:v>
                </c:pt>
                <c:pt idx="32">
                  <c:v>48.24</c:v>
                </c:pt>
                <c:pt idx="33">
                  <c:v>31.68</c:v>
                </c:pt>
                <c:pt idx="34">
                  <c:v>27.83</c:v>
                </c:pt>
                <c:pt idx="35">
                  <c:v>24.03</c:v>
                </c:pt>
                <c:pt idx="36">
                  <c:v>35.19</c:v>
                </c:pt>
                <c:pt idx="37">
                  <c:v>47.25</c:v>
                </c:pt>
                <c:pt idx="38">
                  <c:v>29.51</c:v>
                </c:pt>
                <c:pt idx="39">
                  <c:v>26.93</c:v>
                </c:pt>
                <c:pt idx="40">
                  <c:v>28.38</c:v>
                </c:pt>
                <c:pt idx="41">
                  <c:v>33.21</c:v>
                </c:pt>
                <c:pt idx="42">
                  <c:v>46.77</c:v>
                </c:pt>
                <c:pt idx="43">
                  <c:v>32.23</c:v>
                </c:pt>
                <c:pt idx="44">
                  <c:v>27.54</c:v>
                </c:pt>
                <c:pt idx="45">
                  <c:v>25.04</c:v>
                </c:pt>
                <c:pt idx="46">
                  <c:v>32.07</c:v>
                </c:pt>
                <c:pt idx="47">
                  <c:v>48.58</c:v>
                </c:pt>
                <c:pt idx="48">
                  <c:v>30.41</c:v>
                </c:pt>
                <c:pt idx="49">
                  <c:v>25.97</c:v>
                </c:pt>
                <c:pt idx="50">
                  <c:v>19.45</c:v>
                </c:pt>
                <c:pt idx="51">
                  <c:v>36.18</c:v>
                </c:pt>
                <c:pt idx="52">
                  <c:v>48.68</c:v>
                </c:pt>
                <c:pt idx="53">
                  <c:v>29.4</c:v>
                </c:pt>
                <c:pt idx="54">
                  <c:v>25.34</c:v>
                </c:pt>
                <c:pt idx="55">
                  <c:v>24.67</c:v>
                </c:pt>
                <c:pt idx="56">
                  <c:v>39.53</c:v>
                </c:pt>
                <c:pt idx="57">
                  <c:v>52.86</c:v>
                </c:pt>
                <c:pt idx="58">
                  <c:v>34.61</c:v>
                </c:pt>
                <c:pt idx="59">
                  <c:v>29.71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26.84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28.66</c:v>
                </c:pt>
              </c:strCache>
            </c:strRef>
          </c:cat>
          <c:val>
            <c:numRef>
              <c:f>(อัตรา!$B$21:$B$25,อัตรา!$E$21:$E$25,อัตรา!$F$21:$F$25,อัตรา!$G$21:$G$25,อัตรา!$H$21:$H$25,อัตรา!$I$21:$I$25,อัตรา!$J$21:$J$25,อัตรา!$K$21:$K$25,อัตรา!$L$21:$L$25,อัตรา!$M$21:$M$25,อัตรา!$N$21:$N$25,อัตรา!$O$21:$O$25,อัตรา!$P$21:$P$25,อัตรา!$Q$21:$Q$25)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14.22</c:v>
                </c:pt>
                <c:pt idx="6">
                  <c:v>34.43</c:v>
                </c:pt>
                <c:pt idx="7">
                  <c:v>45.34</c:v>
                </c:pt>
                <c:pt idx="8">
                  <c:v>36.74</c:v>
                </c:pt>
                <c:pt idx="9">
                  <c:v>26.26</c:v>
                </c:pt>
                <c:pt idx="10">
                  <c:v>15.88</c:v>
                </c:pt>
                <c:pt idx="11">
                  <c:v>33.54</c:v>
                </c:pt>
                <c:pt idx="12">
                  <c:v>39.58</c:v>
                </c:pt>
                <c:pt idx="13">
                  <c:v>32.68</c:v>
                </c:pt>
                <c:pt idx="14">
                  <c:v>27.02</c:v>
                </c:pt>
                <c:pt idx="15">
                  <c:v>13.57</c:v>
                </c:pt>
                <c:pt idx="16">
                  <c:v>28.18</c:v>
                </c:pt>
                <c:pt idx="17">
                  <c:v>45.95</c:v>
                </c:pt>
                <c:pt idx="18">
                  <c:v>40.85</c:v>
                </c:pt>
                <c:pt idx="19">
                  <c:v>27.75</c:v>
                </c:pt>
                <c:pt idx="20">
                  <c:v>17.77</c:v>
                </c:pt>
                <c:pt idx="21">
                  <c:v>33.130000000000003</c:v>
                </c:pt>
                <c:pt idx="22">
                  <c:v>44.22</c:v>
                </c:pt>
                <c:pt idx="23">
                  <c:v>33.130000000000003</c:v>
                </c:pt>
                <c:pt idx="24">
                  <c:v>24.64</c:v>
                </c:pt>
                <c:pt idx="25">
                  <c:v>19.3</c:v>
                </c:pt>
                <c:pt idx="26">
                  <c:v>33.99</c:v>
                </c:pt>
                <c:pt idx="27">
                  <c:v>45.59</c:v>
                </c:pt>
                <c:pt idx="28">
                  <c:v>31.63</c:v>
                </c:pt>
                <c:pt idx="29">
                  <c:v>25.94</c:v>
                </c:pt>
                <c:pt idx="30">
                  <c:v>22.11</c:v>
                </c:pt>
                <c:pt idx="31">
                  <c:v>33.86</c:v>
                </c:pt>
                <c:pt idx="32">
                  <c:v>48.24</c:v>
                </c:pt>
                <c:pt idx="33">
                  <c:v>31.68</c:v>
                </c:pt>
                <c:pt idx="34">
                  <c:v>27.83</c:v>
                </c:pt>
                <c:pt idx="35">
                  <c:v>24.03</c:v>
                </c:pt>
                <c:pt idx="36">
                  <c:v>35.19</c:v>
                </c:pt>
                <c:pt idx="37">
                  <c:v>47.25</c:v>
                </c:pt>
                <c:pt idx="38">
                  <c:v>29.51</c:v>
                </c:pt>
                <c:pt idx="39">
                  <c:v>26.93</c:v>
                </c:pt>
                <c:pt idx="40">
                  <c:v>28.38</c:v>
                </c:pt>
                <c:pt idx="41">
                  <c:v>33.21</c:v>
                </c:pt>
                <c:pt idx="42">
                  <c:v>46.77</c:v>
                </c:pt>
                <c:pt idx="43">
                  <c:v>32.229999999999997</c:v>
                </c:pt>
                <c:pt idx="44">
                  <c:v>27.54</c:v>
                </c:pt>
                <c:pt idx="45">
                  <c:v>25.04</c:v>
                </c:pt>
                <c:pt idx="46">
                  <c:v>32.07</c:v>
                </c:pt>
                <c:pt idx="47">
                  <c:v>48.58</c:v>
                </c:pt>
                <c:pt idx="48">
                  <c:v>30.41</c:v>
                </c:pt>
                <c:pt idx="49">
                  <c:v>25.97</c:v>
                </c:pt>
                <c:pt idx="50">
                  <c:v>19.45</c:v>
                </c:pt>
                <c:pt idx="51">
                  <c:v>36.18</c:v>
                </c:pt>
                <c:pt idx="52">
                  <c:v>48.68</c:v>
                </c:pt>
                <c:pt idx="53">
                  <c:v>29.4</c:v>
                </c:pt>
                <c:pt idx="54">
                  <c:v>25.34</c:v>
                </c:pt>
                <c:pt idx="55" formatCode="0.00">
                  <c:v>24.665820780249092</c:v>
                </c:pt>
                <c:pt idx="56" formatCode="0.00">
                  <c:v>39.52739210293344</c:v>
                </c:pt>
                <c:pt idx="57" formatCode="0.00">
                  <c:v>52.863405101843206</c:v>
                </c:pt>
                <c:pt idx="58" formatCode="0.00">
                  <c:v>34.613240610425812</c:v>
                </c:pt>
                <c:pt idx="59" formatCode="0.00">
                  <c:v>29.707620696232205</c:v>
                </c:pt>
                <c:pt idx="60" formatCode="#,##0.00">
                  <c:v>#N/A</c:v>
                </c:pt>
                <c:pt idx="61" formatCode="#,##0.00">
                  <c:v>#N/A</c:v>
                </c:pt>
                <c:pt idx="62" formatCode="#,##0.00">
                  <c:v>#N/A</c:v>
                </c:pt>
                <c:pt idx="63" formatCode="#,##0.00">
                  <c:v>#N/A</c:v>
                </c:pt>
                <c:pt idx="64" formatCode="#,##0.00">
                  <c:v>26.843395482904668</c:v>
                </c:pt>
                <c:pt idx="65" formatCode="#,##0.00">
                  <c:v>#N/A</c:v>
                </c:pt>
                <c:pt idx="66" formatCode="#,##0.00">
                  <c:v>#N/A</c:v>
                </c:pt>
                <c:pt idx="67" formatCode="#,##0.00">
                  <c:v>#N/A</c:v>
                </c:pt>
                <c:pt idx="68" formatCode="#,##0.00">
                  <c:v>#N/A</c:v>
                </c:pt>
                <c:pt idx="69" formatCode="#,##0.00">
                  <c:v>28.655166314899766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81-4570-8C5D-9EE1D145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853713"/>
        <c:axId val="1611492465"/>
      </c:barChart>
      <c:catAx>
        <c:axId val="2011853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611492465"/>
        <c:crosses val="autoZero"/>
        <c:auto val="1"/>
        <c:lblAlgn val="ctr"/>
        <c:lblOffset val="100"/>
        <c:noMultiLvlLbl val="1"/>
      </c:catAx>
      <c:valAx>
        <c:axId val="1611492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20118537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ปริมาณ!$E$2</c:f>
              <c:strCache>
                <c:ptCount val="1"/>
                <c:pt idx="0">
                  <c:v>ธ.ค. 67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ปริมาณ!$E$3:$E$8</c:f>
              <c:numCache>
                <c:formatCode>#,##0</c:formatCode>
                <c:ptCount val="6"/>
                <c:pt idx="0">
                  <c:v>1345675</c:v>
                </c:pt>
                <c:pt idx="1">
                  <c:v>1872673</c:v>
                </c:pt>
                <c:pt idx="2">
                  <c:v>510485</c:v>
                </c:pt>
                <c:pt idx="3">
                  <c:v>506684</c:v>
                </c:pt>
                <c:pt idx="4">
                  <c:v>616656</c:v>
                </c:pt>
                <c:pt idx="5">
                  <c:v>359900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E56-4A93-8762-F5604F9F8B20}"/>
            </c:ext>
          </c:extLst>
        </c:ser>
        <c:ser>
          <c:idx val="1"/>
          <c:order val="1"/>
          <c:tx>
            <c:strRef>
              <c:f>ปริมาณ!$F$2</c:f>
              <c:strCache>
                <c:ptCount val="1"/>
                <c:pt idx="0">
                  <c:v>ม.ค.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ปริมาณ!$F$3:$F$8</c:f>
              <c:numCache>
                <c:formatCode>#,##0.00</c:formatCode>
                <c:ptCount val="6"/>
                <c:pt idx="0">
                  <c:v>1141685.4099999999</c:v>
                </c:pt>
                <c:pt idx="1">
                  <c:v>1621370.0199999998</c:v>
                </c:pt>
                <c:pt idx="2">
                  <c:v>459874.75999999989</c:v>
                </c:pt>
                <c:pt idx="3">
                  <c:v>457677.5</c:v>
                </c:pt>
                <c:pt idx="4">
                  <c:v>695410.56</c:v>
                </c:pt>
                <c:pt idx="5">
                  <c:v>433136.11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E56-4A93-8762-F5604F9F8B20}"/>
            </c:ext>
          </c:extLst>
        </c:ser>
        <c:ser>
          <c:idx val="2"/>
          <c:order val="2"/>
          <c:tx>
            <c:strRef>
              <c:f>ปริมาณ!$G$2</c:f>
              <c:strCache>
                <c:ptCount val="1"/>
                <c:pt idx="0">
                  <c:v>ก.พ.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ปริมาณ!$G$3:$G$8</c:f>
              <c:numCache>
                <c:formatCode>#,##0.00</c:formatCode>
                <c:ptCount val="6"/>
                <c:pt idx="0">
                  <c:v>949754.31</c:v>
                </c:pt>
                <c:pt idx="1">
                  <c:v>1681544.2</c:v>
                </c:pt>
                <c:pt idx="2">
                  <c:v>344239.13000000006</c:v>
                </c:pt>
                <c:pt idx="3">
                  <c:v>369985</c:v>
                </c:pt>
                <c:pt idx="4">
                  <c:v>642818.35000000009</c:v>
                </c:pt>
                <c:pt idx="5">
                  <c:v>537791.48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E56-4A93-8762-F5604F9F8B20}"/>
            </c:ext>
          </c:extLst>
        </c:ser>
        <c:ser>
          <c:idx val="3"/>
          <c:order val="3"/>
          <c:tx>
            <c:strRef>
              <c:f>ปริมาณ!$H$2</c:f>
              <c:strCache>
                <c:ptCount val="1"/>
                <c:pt idx="0">
                  <c:v>มี.ค.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ปริมาณ!$H$3:$H$8</c:f>
              <c:numCache>
                <c:formatCode>#,##0.00</c:formatCode>
                <c:ptCount val="6"/>
                <c:pt idx="0">
                  <c:v>993534.76000000013</c:v>
                </c:pt>
                <c:pt idx="1">
                  <c:v>1343762.4300000002</c:v>
                </c:pt>
                <c:pt idx="2">
                  <c:v>409433.70999999996</c:v>
                </c:pt>
                <c:pt idx="3">
                  <c:v>454310</c:v>
                </c:pt>
                <c:pt idx="4">
                  <c:v>750493.74000000022</c:v>
                </c:pt>
                <c:pt idx="5">
                  <c:v>697176.4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CE56-4A93-8762-F5604F9F8B20}"/>
            </c:ext>
          </c:extLst>
        </c:ser>
        <c:ser>
          <c:idx val="4"/>
          <c:order val="4"/>
          <c:tx>
            <c:strRef>
              <c:f>ปริมาณ!$I$2</c:f>
              <c:strCache>
                <c:ptCount val="1"/>
                <c:pt idx="0">
                  <c:v>เม.ย.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ปริมาณ!$I$3:$I$8</c:f>
              <c:numCache>
                <c:formatCode>#,##0.00</c:formatCode>
                <c:ptCount val="6"/>
                <c:pt idx="0">
                  <c:v>1096569.3799999999</c:v>
                </c:pt>
                <c:pt idx="1">
                  <c:v>1504290.8599999996</c:v>
                </c:pt>
                <c:pt idx="2">
                  <c:v>410905.60999999987</c:v>
                </c:pt>
                <c:pt idx="3">
                  <c:v>500026.82</c:v>
                </c:pt>
                <c:pt idx="4">
                  <c:v>745895.81999999983</c:v>
                </c:pt>
                <c:pt idx="5">
                  <c:v>738431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CE56-4A93-8762-F5604F9F8B20}"/>
            </c:ext>
          </c:extLst>
        </c:ser>
        <c:ser>
          <c:idx val="5"/>
          <c:order val="5"/>
          <c:tx>
            <c:strRef>
              <c:f>ปริมาณ!$J$2</c:f>
              <c:strCache>
                <c:ptCount val="1"/>
                <c:pt idx="0">
                  <c:v>พ.ค.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ปริมาณ!$J$3:$J$8</c:f>
              <c:numCache>
                <c:formatCode>#,##0.00</c:formatCode>
                <c:ptCount val="6"/>
                <c:pt idx="0">
                  <c:v>1194933.93</c:v>
                </c:pt>
                <c:pt idx="1">
                  <c:v>1504290.8599999996</c:v>
                </c:pt>
                <c:pt idx="2">
                  <c:v>497294.56</c:v>
                </c:pt>
                <c:pt idx="3">
                  <c:v>594124</c:v>
                </c:pt>
                <c:pt idx="4">
                  <c:v>819785.54999999981</c:v>
                </c:pt>
                <c:pt idx="5">
                  <c:v>744045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CE56-4A93-8762-F5604F9F8B20}"/>
            </c:ext>
          </c:extLst>
        </c:ser>
        <c:ser>
          <c:idx val="6"/>
          <c:order val="6"/>
          <c:tx>
            <c:strRef>
              <c:f>ปริมาณ!$K$2</c:f>
              <c:strCache>
                <c:ptCount val="1"/>
                <c:pt idx="0">
                  <c:v>มิ.ย.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ปริมาณ!$K$3:$K$8</c:f>
              <c:numCache>
                <c:formatCode>#,##0.00</c:formatCode>
                <c:ptCount val="6"/>
                <c:pt idx="0">
                  <c:v>1167115.6400000001</c:v>
                </c:pt>
                <c:pt idx="1">
                  <c:v>1833929.5500000007</c:v>
                </c:pt>
                <c:pt idx="2">
                  <c:v>476272.19</c:v>
                </c:pt>
                <c:pt idx="3">
                  <c:v>451782.32</c:v>
                </c:pt>
                <c:pt idx="4">
                  <c:v>883999.08999999985</c:v>
                </c:pt>
                <c:pt idx="5">
                  <c:v>684513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CE56-4A93-8762-F5604F9F8B20}"/>
            </c:ext>
          </c:extLst>
        </c:ser>
        <c:ser>
          <c:idx val="7"/>
          <c:order val="7"/>
          <c:tx>
            <c:strRef>
              <c:f>ปริมาณ!$L$2</c:f>
              <c:strCache>
                <c:ptCount val="1"/>
                <c:pt idx="0">
                  <c:v>ก.ค.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ปริมาณ!$L$3:$L$8</c:f>
              <c:numCache>
                <c:formatCode>#,##0.00</c:formatCode>
                <c:ptCount val="6"/>
                <c:pt idx="0">
                  <c:v>1142309.6399999999</c:v>
                </c:pt>
                <c:pt idx="1">
                  <c:v>1486590.5100000005</c:v>
                </c:pt>
                <c:pt idx="2">
                  <c:v>431135.53</c:v>
                </c:pt>
                <c:pt idx="3">
                  <c:v>655130.32000000007</c:v>
                </c:pt>
                <c:pt idx="4">
                  <c:v>929550.44</c:v>
                </c:pt>
                <c:pt idx="5">
                  <c:v>681198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CE56-4A93-8762-F5604F9F8B20}"/>
            </c:ext>
          </c:extLst>
        </c:ser>
        <c:ser>
          <c:idx val="8"/>
          <c:order val="8"/>
          <c:tx>
            <c:strRef>
              <c:f>ปริมาณ!$M$2</c:f>
              <c:strCache>
                <c:ptCount val="1"/>
                <c:pt idx="0">
                  <c:v>ส.ค.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ปริมาณ!$M$3:$M$8</c:f>
              <c:numCache>
                <c:formatCode>#,##0.00</c:formatCode>
                <c:ptCount val="6"/>
                <c:pt idx="0">
                  <c:v>1146478.44</c:v>
                </c:pt>
                <c:pt idx="1">
                  <c:v>1140827.19</c:v>
                </c:pt>
                <c:pt idx="2">
                  <c:v>467265.14</c:v>
                </c:pt>
                <c:pt idx="3">
                  <c:v>594603.31999999995</c:v>
                </c:pt>
                <c:pt idx="4">
                  <c:v>965411</c:v>
                </c:pt>
                <c:pt idx="5">
                  <c:v>614821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CE56-4A93-8762-F5604F9F8B20}"/>
            </c:ext>
          </c:extLst>
        </c:ser>
        <c:ser>
          <c:idx val="9"/>
          <c:order val="9"/>
          <c:tx>
            <c:strRef>
              <c:f>ปริมาณ!$N$2</c:f>
              <c:strCache>
                <c:ptCount val="1"/>
                <c:pt idx="0">
                  <c:v>ก.ย.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ปริมาณ!$N$3:$N$8</c:f>
              <c:numCache>
                <c:formatCode>#,##0.00</c:formatCode>
                <c:ptCount val="6"/>
                <c:pt idx="0">
                  <c:v>1038271.12</c:v>
                </c:pt>
                <c:pt idx="1">
                  <c:v>1097132.8700000001</c:v>
                </c:pt>
                <c:pt idx="2">
                  <c:v>489360.44</c:v>
                </c:pt>
                <c:pt idx="3">
                  <c:v>461042.32</c:v>
                </c:pt>
                <c:pt idx="4">
                  <c:v>754629.06999999983</c:v>
                </c:pt>
                <c:pt idx="5">
                  <c:v>626638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CE56-4A93-8762-F5604F9F8B20}"/>
            </c:ext>
          </c:extLst>
        </c:ser>
        <c:ser>
          <c:idx val="10"/>
          <c:order val="10"/>
          <c:tx>
            <c:strRef>
              <c:f>ปริมาณ!$O$2</c:f>
              <c:strCache>
                <c:ptCount val="1"/>
                <c:pt idx="0">
                  <c:v>ต.ค.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ปริมาณ!$O$3:$O$8</c:f>
              <c:numCache>
                <c:formatCode>#,##0.00</c:formatCode>
                <c:ptCount val="6"/>
                <c:pt idx="0">
                  <c:v>1170803.1299999999</c:v>
                </c:pt>
                <c:pt idx="1">
                  <c:v>1480715.33</c:v>
                </c:pt>
                <c:pt idx="2">
                  <c:v>548358.01</c:v>
                </c:pt>
                <c:pt idx="3">
                  <c:v>608955</c:v>
                </c:pt>
                <c:pt idx="4">
                  <c:v>934349.02</c:v>
                </c:pt>
                <c:pt idx="5">
                  <c:v>805556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CE56-4A93-8762-F5604F9F8B20}"/>
            </c:ext>
          </c:extLst>
        </c:ser>
        <c:ser>
          <c:idx val="11"/>
          <c:order val="11"/>
          <c:tx>
            <c:strRef>
              <c:f>ปริมาณ!$P$2</c:f>
              <c:strCache>
                <c:ptCount val="1"/>
                <c:pt idx="0">
                  <c:v>พ.ย. 68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CE56-4A93-8762-F5604F9F8B20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ปริมาณ!$P$3:$P$8</c:f>
              <c:numCache>
                <c:formatCode>#,##0.00</c:formatCode>
                <c:ptCount val="6"/>
                <c:pt idx="0">
                  <c:v>1044467.77</c:v>
                </c:pt>
                <c:pt idx="1">
                  <c:v>1253377.8399999999</c:v>
                </c:pt>
                <c:pt idx="2">
                  <c:v>691819.65</c:v>
                </c:pt>
                <c:pt idx="3">
                  <c:v>541855.31999999995</c:v>
                </c:pt>
                <c:pt idx="4">
                  <c:v>928099.95000000019</c:v>
                </c:pt>
                <c:pt idx="5">
                  <c:v>641915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CE56-4A93-8762-F5604F9F8B20}"/>
            </c:ext>
          </c:extLst>
        </c:ser>
        <c:ser>
          <c:idx val="12"/>
          <c:order val="12"/>
          <c:tx>
            <c:strRef>
              <c:f>ปริมาณ!$Q$2</c:f>
              <c:strCache>
                <c:ptCount val="1"/>
                <c:pt idx="0">
                  <c:v>ธ.ค. 68</c:v>
                </c:pt>
              </c:strCache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CE56-4A93-8762-F5604F9F8B20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CE56-4A93-8762-F5604F9F8B20}"/>
              </c:ext>
            </c:extLst>
          </c:dPt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ปริมาณ!$Q$3:$Q$8</c:f>
              <c:numCache>
                <c:formatCode>#,##0.00</c:formatCode>
                <c:ptCount val="6"/>
                <c:pt idx="0">
                  <c:v>1410217.82</c:v>
                </c:pt>
                <c:pt idx="1">
                  <c:v>1444461.6600000001</c:v>
                </c:pt>
                <c:pt idx="2">
                  <c:v>700451.9</c:v>
                </c:pt>
                <c:pt idx="3">
                  <c:v>558366</c:v>
                </c:pt>
                <c:pt idx="4">
                  <c:v>1057412.67</c:v>
                </c:pt>
                <c:pt idx="5">
                  <c:v>826355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CE56-4A93-8762-F5604F9F8B20}"/>
            </c:ext>
          </c:extLst>
        </c:ser>
        <c:ser>
          <c:idx val="13"/>
          <c:order val="13"/>
          <c:tx>
            <c:strRef>
              <c:f>ปริมาณ!$R$2</c:f>
              <c:strCache>
                <c:ptCount val="1"/>
                <c:pt idx="0">
                  <c:v>ม.ค.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ปริมาณ!$R$3:$R$8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CE56-4A93-8762-F5604F9F8B20}"/>
            </c:ext>
          </c:extLst>
        </c:ser>
        <c:ser>
          <c:idx val="14"/>
          <c:order val="14"/>
          <c:tx>
            <c:strRef>
              <c:f>ปริมาณ!$S$2</c:f>
              <c:strCache>
                <c:ptCount val="1"/>
                <c:pt idx="0">
                  <c:v>ก.พ.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ปริมาณ!$S$3:$S$8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6-CE56-4A93-8762-F5604F9F8B20}"/>
            </c:ext>
          </c:extLst>
        </c:ser>
        <c:ser>
          <c:idx val="15"/>
          <c:order val="15"/>
          <c:tx>
            <c:strRef>
              <c:f>ปริมาณ!$T$2</c:f>
              <c:strCache>
                <c:ptCount val="1"/>
                <c:pt idx="0">
                  <c:v>มี.ค.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ปริมาณ!$T$3:$T$8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CE56-4A93-8762-F5604F9F8B20}"/>
            </c:ext>
          </c:extLst>
        </c:ser>
        <c:ser>
          <c:idx val="16"/>
          <c:order val="16"/>
          <c:tx>
            <c:strRef>
              <c:f>ปริมาณ!$U$2</c:f>
              <c:strCache>
                <c:ptCount val="1"/>
                <c:pt idx="0">
                  <c:v>เม.ย.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ปริมาณ!$U$3:$U$8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8-CE56-4A93-8762-F5604F9F8B20}"/>
            </c:ext>
          </c:extLst>
        </c:ser>
        <c:ser>
          <c:idx val="17"/>
          <c:order val="17"/>
          <c:tx>
            <c:strRef>
              <c:f>ปริมาณ!$V$2</c:f>
              <c:strCache>
                <c:ptCount val="1"/>
                <c:pt idx="0">
                  <c:v>พ.ค.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ปริมาณ!$V$3:$V$8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9-CE56-4A93-8762-F5604F9F8B20}"/>
            </c:ext>
          </c:extLst>
        </c:ser>
        <c:ser>
          <c:idx val="18"/>
          <c:order val="18"/>
          <c:tx>
            <c:strRef>
              <c:f>ปริมาณ!$W$2</c:f>
              <c:strCache>
                <c:ptCount val="1"/>
                <c:pt idx="0">
                  <c:v>มิ.ย.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ปริมาณ!$W$3:$W$8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A-CE56-4A93-8762-F5604F9F8B20}"/>
            </c:ext>
          </c:extLst>
        </c:ser>
        <c:ser>
          <c:idx val="19"/>
          <c:order val="19"/>
          <c:tx>
            <c:strRef>
              <c:f>ปริมาณ!$X$2</c:f>
              <c:strCache>
                <c:ptCount val="1"/>
                <c:pt idx="0">
                  <c:v>ก.ค.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ปริมาณ!$X$3:$X$8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B-CE56-4A93-8762-F5604F9F8B20}"/>
            </c:ext>
          </c:extLst>
        </c:ser>
        <c:ser>
          <c:idx val="20"/>
          <c:order val="20"/>
          <c:tx>
            <c:strRef>
              <c:f>ปริมาณ!$Y$2</c:f>
              <c:strCache>
                <c:ptCount val="1"/>
                <c:pt idx="0">
                  <c:v>ส.ค.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ปริมาณ!$Y$3:$Y$8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C-CE56-4A93-8762-F5604F9F8B20}"/>
            </c:ext>
          </c:extLst>
        </c:ser>
        <c:ser>
          <c:idx val="21"/>
          <c:order val="21"/>
          <c:tx>
            <c:strRef>
              <c:f>ปริมาณ!$Z$2</c:f>
              <c:strCache>
                <c:ptCount val="1"/>
                <c:pt idx="0">
                  <c:v>ก.ย. 69</c:v>
                </c:pt>
              </c:strCache>
            </c:strRef>
          </c:tx>
          <c:invertIfNegative val="1"/>
          <c:cat>
            <c:strRef>
              <c:f>ปริมาณ!$B$3:$B$8</c:f>
              <c:strCache>
                <c:ptCount val="6"/>
                <c:pt idx="0">
                  <c:v>ชลบุรี (พ)</c:v>
                </c:pt>
                <c:pt idx="1">
                  <c:v>พัทยา (พ)</c:v>
                </c:pt>
                <c:pt idx="2">
                  <c:v>บ้านบึง</c:v>
                </c:pt>
                <c:pt idx="3">
                  <c:v>พนัสนิคม</c:v>
                </c:pt>
                <c:pt idx="4">
                  <c:v>ศรีราชา</c:v>
                </c:pt>
                <c:pt idx="5">
                  <c:v>แหลมฉบัง</c:v>
                </c:pt>
              </c:strCache>
            </c:strRef>
          </c:cat>
          <c:val>
            <c:numRef>
              <c:f>ปริมาณ!$Z$3:$Z$8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D-CE56-4A93-8762-F5604F9F8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694182"/>
        <c:axId val="1277508748"/>
      </c:barChart>
      <c:catAx>
        <c:axId val="763694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277508748"/>
        <c:crosses val="autoZero"/>
        <c:auto val="1"/>
        <c:lblAlgn val="ctr"/>
        <c:lblOffset val="100"/>
        <c:noMultiLvlLbl val="1"/>
      </c:catAx>
      <c:valAx>
        <c:axId val="1277508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7636941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6E2-499E-814A-8E1965FF610D}"/>
              </c:ext>
            </c:extLst>
          </c:dPt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ปริมาณ!$E$9:$E$14</c:f>
              <c:numCache>
                <c:formatCode>#,##0</c:formatCode>
                <c:ptCount val="6"/>
                <c:pt idx="0">
                  <c:v>98255</c:v>
                </c:pt>
                <c:pt idx="1">
                  <c:v>125869</c:v>
                </c:pt>
                <c:pt idx="2">
                  <c:v>496793</c:v>
                </c:pt>
                <c:pt idx="3">
                  <c:v>240026</c:v>
                </c:pt>
                <c:pt idx="4">
                  <c:v>293689</c:v>
                </c:pt>
                <c:pt idx="5">
                  <c:v>1158203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E2-499E-814A-8E1965FF610D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6E2-499E-814A-8E1965FF610D}"/>
              </c:ext>
            </c:extLst>
          </c:dPt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ปริมาณ!$F$9:$F$14</c:f>
              <c:numCache>
                <c:formatCode>#,##0.00</c:formatCode>
                <c:ptCount val="6"/>
                <c:pt idx="0">
                  <c:v>128728.58</c:v>
                </c:pt>
                <c:pt idx="1">
                  <c:v>148677.57</c:v>
                </c:pt>
                <c:pt idx="2">
                  <c:v>642665.60000000009</c:v>
                </c:pt>
                <c:pt idx="3">
                  <c:v>349919</c:v>
                </c:pt>
                <c:pt idx="4">
                  <c:v>324981</c:v>
                </c:pt>
                <c:pt idx="5">
                  <c:v>1118493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6E2-499E-814A-8E1965FF610D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ปริมาณ!$G$9:$G$14</c:f>
              <c:numCache>
                <c:formatCode>#,##0.00</c:formatCode>
                <c:ptCount val="6"/>
                <c:pt idx="0">
                  <c:v>144109.08000000002</c:v>
                </c:pt>
                <c:pt idx="1">
                  <c:v>112692.35</c:v>
                </c:pt>
                <c:pt idx="2">
                  <c:v>604759.06999999983</c:v>
                </c:pt>
                <c:pt idx="3">
                  <c:v>293103</c:v>
                </c:pt>
                <c:pt idx="4">
                  <c:v>266683</c:v>
                </c:pt>
                <c:pt idx="5">
                  <c:v>1051189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6E2-499E-814A-8E1965FF610D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ปริมาณ!$H$9:$H$14</c:f>
              <c:numCache>
                <c:formatCode>#,##0.00</c:formatCode>
                <c:ptCount val="6"/>
                <c:pt idx="0">
                  <c:v>168345.05</c:v>
                </c:pt>
                <c:pt idx="1">
                  <c:v>114469.76999999999</c:v>
                </c:pt>
                <c:pt idx="2">
                  <c:v>726133.10000000009</c:v>
                </c:pt>
                <c:pt idx="3">
                  <c:v>227465</c:v>
                </c:pt>
                <c:pt idx="4">
                  <c:v>212237.12999999989</c:v>
                </c:pt>
                <c:pt idx="5">
                  <c:v>1014161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6E2-499E-814A-8E1965FF610D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ปริมาณ!$I$9:$I$14</c:f>
              <c:numCache>
                <c:formatCode>#,##0.00</c:formatCode>
                <c:ptCount val="6"/>
                <c:pt idx="0">
                  <c:v>138917.04999999999</c:v>
                </c:pt>
                <c:pt idx="1">
                  <c:v>92844.43</c:v>
                </c:pt>
                <c:pt idx="2">
                  <c:v>674470</c:v>
                </c:pt>
                <c:pt idx="3">
                  <c:v>318136</c:v>
                </c:pt>
                <c:pt idx="4">
                  <c:v>321623.8899999999</c:v>
                </c:pt>
                <c:pt idx="5">
                  <c:v>1017563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6E2-499E-814A-8E1965FF610D}"/>
            </c:ext>
          </c:extLst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ปริมาณ!$J$9:$J$14</c:f>
              <c:numCache>
                <c:formatCode>#,##0.00</c:formatCode>
                <c:ptCount val="6"/>
                <c:pt idx="0">
                  <c:v>180715.45</c:v>
                </c:pt>
                <c:pt idx="1">
                  <c:v>105662.45999999996</c:v>
                </c:pt>
                <c:pt idx="2">
                  <c:v>841657.10000000009</c:v>
                </c:pt>
                <c:pt idx="3">
                  <c:v>291634.7</c:v>
                </c:pt>
                <c:pt idx="4">
                  <c:v>351527.8899999999</c:v>
                </c:pt>
                <c:pt idx="5">
                  <c:v>949211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6E2-499E-814A-8E1965FF610D}"/>
            </c:ext>
          </c:extLst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ปริมาณ!$K$9:$K$14</c:f>
              <c:numCache>
                <c:formatCode>#,##0.00</c:formatCode>
                <c:ptCount val="6"/>
                <c:pt idx="0">
                  <c:v>147702</c:v>
                </c:pt>
                <c:pt idx="1">
                  <c:v>130169.83999999994</c:v>
                </c:pt>
                <c:pt idx="2">
                  <c:v>857939</c:v>
                </c:pt>
                <c:pt idx="3">
                  <c:v>280076</c:v>
                </c:pt>
                <c:pt idx="4">
                  <c:v>266430</c:v>
                </c:pt>
                <c:pt idx="5">
                  <c:v>547289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6E2-499E-814A-8E1965FF610D}"/>
            </c:ext>
          </c:extLst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ปริมาณ!$L$9:$L$14</c:f>
              <c:numCache>
                <c:formatCode>#,##0.00</c:formatCode>
                <c:ptCount val="6"/>
                <c:pt idx="0">
                  <c:v>107327.90999999992</c:v>
                </c:pt>
                <c:pt idx="1">
                  <c:v>118289.3899999999</c:v>
                </c:pt>
                <c:pt idx="2">
                  <c:v>848547.62000000011</c:v>
                </c:pt>
                <c:pt idx="3">
                  <c:v>285092.88</c:v>
                </c:pt>
                <c:pt idx="4">
                  <c:v>341443</c:v>
                </c:pt>
                <c:pt idx="5">
                  <c:v>614758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06E2-499E-814A-8E1965FF610D}"/>
            </c:ext>
          </c:extLst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ปริมาณ!$M$9:$M$14</c:f>
              <c:numCache>
                <c:formatCode>#,##0.00</c:formatCode>
                <c:ptCount val="6"/>
                <c:pt idx="0">
                  <c:v>90989.31</c:v>
                </c:pt>
                <c:pt idx="1">
                  <c:v>16115</c:v>
                </c:pt>
                <c:pt idx="2">
                  <c:v>737055</c:v>
                </c:pt>
                <c:pt idx="3">
                  <c:v>263250</c:v>
                </c:pt>
                <c:pt idx="4">
                  <c:v>272890</c:v>
                </c:pt>
                <c:pt idx="5">
                  <c:v>725898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06E2-499E-814A-8E1965FF610D}"/>
            </c:ext>
          </c:extLst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ปริมาณ!$N$9:$N$14</c:f>
              <c:numCache>
                <c:formatCode>#,##0.00</c:formatCode>
                <c:ptCount val="6"/>
                <c:pt idx="0">
                  <c:v>90963.19</c:v>
                </c:pt>
                <c:pt idx="1">
                  <c:v>96053.209999999992</c:v>
                </c:pt>
                <c:pt idx="2">
                  <c:v>587863</c:v>
                </c:pt>
                <c:pt idx="3">
                  <c:v>220043</c:v>
                </c:pt>
                <c:pt idx="4">
                  <c:v>216500</c:v>
                </c:pt>
                <c:pt idx="5">
                  <c:v>804649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06E2-499E-814A-8E1965FF610D}"/>
            </c:ext>
          </c:extLst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ปริมาณ!$O$9:$O$14</c:f>
              <c:numCache>
                <c:formatCode>#,##0.00</c:formatCode>
                <c:ptCount val="6"/>
                <c:pt idx="0">
                  <c:v>119450</c:v>
                </c:pt>
                <c:pt idx="1">
                  <c:v>181989.98</c:v>
                </c:pt>
                <c:pt idx="2">
                  <c:v>916973</c:v>
                </c:pt>
                <c:pt idx="3">
                  <c:v>237229</c:v>
                </c:pt>
                <c:pt idx="4">
                  <c:v>318571</c:v>
                </c:pt>
                <c:pt idx="5">
                  <c:v>848736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06E2-499E-814A-8E1965FF610D}"/>
            </c:ext>
          </c:extLst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ปริมาณ!$P$9:$P$14</c:f>
              <c:numCache>
                <c:formatCode>#,##0.00</c:formatCode>
                <c:ptCount val="6"/>
                <c:pt idx="0">
                  <c:v>105183.55</c:v>
                </c:pt>
                <c:pt idx="1">
                  <c:v>126452.7</c:v>
                </c:pt>
                <c:pt idx="2">
                  <c:v>832268</c:v>
                </c:pt>
                <c:pt idx="3">
                  <c:v>186123</c:v>
                </c:pt>
                <c:pt idx="4">
                  <c:v>169159</c:v>
                </c:pt>
                <c:pt idx="5">
                  <c:v>926068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06E2-499E-814A-8E1965FF610D}"/>
            </c:ext>
          </c:extLst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ปริมาณ!$B$9:$B$14</c:f>
              <c:strCache>
                <c:ptCount val="6"/>
                <c:pt idx="0">
                  <c:v>ฉะเชิงเทรา</c:v>
                </c:pt>
                <c:pt idx="1">
                  <c:v>บางปะกง</c:v>
                </c:pt>
                <c:pt idx="2">
                  <c:v>บางคล้า</c:v>
                </c:pt>
                <c:pt idx="3">
                  <c:v>พนมสารคาม</c:v>
                </c:pt>
                <c:pt idx="4">
                  <c:v>ระยอง</c:v>
                </c:pt>
                <c:pt idx="5">
                  <c:v>บ้านฉาง</c:v>
                </c:pt>
              </c:strCache>
            </c:strRef>
          </c:cat>
          <c:val>
            <c:numRef>
              <c:f>ปริมาณ!$Q$9:$Q$14</c:f>
              <c:numCache>
                <c:formatCode>#,##0.00</c:formatCode>
                <c:ptCount val="6"/>
                <c:pt idx="0">
                  <c:v>70194</c:v>
                </c:pt>
                <c:pt idx="1">
                  <c:v>175726.15</c:v>
                </c:pt>
                <c:pt idx="2">
                  <c:v>870933</c:v>
                </c:pt>
                <c:pt idx="3">
                  <c:v>263476.8</c:v>
                </c:pt>
                <c:pt idx="4">
                  <c:v>277631</c:v>
                </c:pt>
                <c:pt idx="5">
                  <c:v>976800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06E2-499E-814A-8E1965FF6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1348636"/>
        <c:axId val="761475206"/>
      </c:barChart>
      <c:catAx>
        <c:axId val="1401348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761475206"/>
        <c:crosses val="autoZero"/>
        <c:auto val="1"/>
        <c:lblAlgn val="ctr"/>
        <c:lblOffset val="100"/>
        <c:noMultiLvlLbl val="1"/>
      </c:catAx>
      <c:valAx>
        <c:axId val="761475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4013486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ปริมาณ!$E$15:$E$19</c:f>
              <c:numCache>
                <c:formatCode>#,##0</c:formatCode>
                <c:ptCount val="5"/>
                <c:pt idx="0">
                  <c:v>312262</c:v>
                </c:pt>
                <c:pt idx="1">
                  <c:v>477340</c:v>
                </c:pt>
                <c:pt idx="2">
                  <c:v>254895</c:v>
                </c:pt>
                <c:pt idx="3">
                  <c:v>955097</c:v>
                </c:pt>
                <c:pt idx="4">
                  <c:v>52887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39-42E3-8AB6-5B1F22AF8B2E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ปริมาณ!$F$15:$F$19</c:f>
              <c:numCache>
                <c:formatCode>#,##0.00</c:formatCode>
                <c:ptCount val="5"/>
                <c:pt idx="0">
                  <c:v>461231</c:v>
                </c:pt>
                <c:pt idx="1">
                  <c:v>636774</c:v>
                </c:pt>
                <c:pt idx="2">
                  <c:v>246063</c:v>
                </c:pt>
                <c:pt idx="3">
                  <c:v>797836</c:v>
                </c:pt>
                <c:pt idx="4">
                  <c:v>58400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39-42E3-8AB6-5B1F22AF8B2E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ปริมาณ!$G$15:$G$19</c:f>
              <c:numCache>
                <c:formatCode>#,##0.00</c:formatCode>
                <c:ptCount val="5"/>
                <c:pt idx="0">
                  <c:v>330247</c:v>
                </c:pt>
                <c:pt idx="1">
                  <c:v>520224</c:v>
                </c:pt>
                <c:pt idx="2">
                  <c:v>243867.64</c:v>
                </c:pt>
                <c:pt idx="3">
                  <c:v>727134.53</c:v>
                </c:pt>
                <c:pt idx="4">
                  <c:v>53463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339-42E3-8AB6-5B1F22AF8B2E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ปริมาณ!$H$15:$H$19</c:f>
              <c:numCache>
                <c:formatCode>#,##0.00</c:formatCode>
                <c:ptCount val="5"/>
                <c:pt idx="0">
                  <c:v>408368</c:v>
                </c:pt>
                <c:pt idx="1">
                  <c:v>644974</c:v>
                </c:pt>
                <c:pt idx="2">
                  <c:v>266254.98</c:v>
                </c:pt>
                <c:pt idx="3">
                  <c:v>730950.64999999991</c:v>
                </c:pt>
                <c:pt idx="4">
                  <c:v>59310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339-42E3-8AB6-5B1F22AF8B2E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ปริมาณ!$I$15:$I$19</c:f>
              <c:numCache>
                <c:formatCode>#,##0.00</c:formatCode>
                <c:ptCount val="5"/>
                <c:pt idx="0">
                  <c:v>427440</c:v>
                </c:pt>
                <c:pt idx="1">
                  <c:v>670545</c:v>
                </c:pt>
                <c:pt idx="2">
                  <c:v>248626.02</c:v>
                </c:pt>
                <c:pt idx="3">
                  <c:v>667021.91999999993</c:v>
                </c:pt>
                <c:pt idx="4">
                  <c:v>58137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339-42E3-8AB6-5B1F22AF8B2E}"/>
            </c:ext>
          </c:extLst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ปริมาณ!$J$15:$J$19</c:f>
              <c:numCache>
                <c:formatCode>#,##0.00</c:formatCode>
                <c:ptCount val="5"/>
                <c:pt idx="0">
                  <c:v>434177</c:v>
                </c:pt>
                <c:pt idx="1">
                  <c:v>632562</c:v>
                </c:pt>
                <c:pt idx="2">
                  <c:v>294089.28000000003</c:v>
                </c:pt>
                <c:pt idx="3">
                  <c:v>723514</c:v>
                </c:pt>
                <c:pt idx="4">
                  <c:v>61652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339-42E3-8AB6-5B1F22AF8B2E}"/>
            </c:ext>
          </c:extLst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ปริมาณ!$K$15:$K$19</c:f>
              <c:numCache>
                <c:formatCode>#,##0.00</c:formatCode>
                <c:ptCount val="5"/>
                <c:pt idx="0">
                  <c:v>345743</c:v>
                </c:pt>
                <c:pt idx="1">
                  <c:v>643180</c:v>
                </c:pt>
                <c:pt idx="2">
                  <c:v>215916.11</c:v>
                </c:pt>
                <c:pt idx="3">
                  <c:v>681957</c:v>
                </c:pt>
                <c:pt idx="4">
                  <c:v>57421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339-42E3-8AB6-5B1F22AF8B2E}"/>
            </c:ext>
          </c:extLst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ปริมาณ!$L$15:$L$19</c:f>
              <c:numCache>
                <c:formatCode>#,##0.00</c:formatCode>
                <c:ptCount val="5"/>
                <c:pt idx="0">
                  <c:v>451301</c:v>
                </c:pt>
                <c:pt idx="1">
                  <c:v>660718</c:v>
                </c:pt>
                <c:pt idx="2">
                  <c:v>298496.14</c:v>
                </c:pt>
                <c:pt idx="3">
                  <c:v>772888</c:v>
                </c:pt>
                <c:pt idx="4">
                  <c:v>66076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4339-42E3-8AB6-5B1F22AF8B2E}"/>
            </c:ext>
          </c:extLst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ปริมาณ!$M$15:$M$19</c:f>
              <c:numCache>
                <c:formatCode>#,##0.00</c:formatCode>
                <c:ptCount val="5"/>
                <c:pt idx="0">
                  <c:v>403563</c:v>
                </c:pt>
                <c:pt idx="1">
                  <c:v>705214</c:v>
                </c:pt>
                <c:pt idx="2">
                  <c:v>303232.82</c:v>
                </c:pt>
                <c:pt idx="3">
                  <c:v>760587</c:v>
                </c:pt>
                <c:pt idx="4">
                  <c:v>64815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339-42E3-8AB6-5B1F22AF8B2E}"/>
            </c:ext>
          </c:extLst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ปริมาณ!$N$15:$N$19</c:f>
              <c:numCache>
                <c:formatCode>#,##0.00</c:formatCode>
                <c:ptCount val="5"/>
                <c:pt idx="0">
                  <c:v>371776</c:v>
                </c:pt>
                <c:pt idx="1">
                  <c:v>686127</c:v>
                </c:pt>
                <c:pt idx="2">
                  <c:v>309966.59000000003</c:v>
                </c:pt>
                <c:pt idx="3">
                  <c:v>702618</c:v>
                </c:pt>
                <c:pt idx="4">
                  <c:v>64673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4339-42E3-8AB6-5B1F22AF8B2E}"/>
            </c:ext>
          </c:extLst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ปริมาณ!$O$15:$O$19</c:f>
              <c:numCache>
                <c:formatCode>#,##0.00</c:formatCode>
                <c:ptCount val="5"/>
                <c:pt idx="0">
                  <c:v>428001</c:v>
                </c:pt>
                <c:pt idx="1">
                  <c:v>675775</c:v>
                </c:pt>
                <c:pt idx="2">
                  <c:v>331286.31</c:v>
                </c:pt>
                <c:pt idx="3">
                  <c:v>787751</c:v>
                </c:pt>
                <c:pt idx="4">
                  <c:v>89938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4339-42E3-8AB6-5B1F22AF8B2E}"/>
            </c:ext>
          </c:extLst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ปริมาณ!$P$15:$P$19</c:f>
              <c:numCache>
                <c:formatCode>#,##0.00</c:formatCode>
                <c:ptCount val="5"/>
                <c:pt idx="0">
                  <c:v>362584</c:v>
                </c:pt>
                <c:pt idx="1">
                  <c:v>615499</c:v>
                </c:pt>
                <c:pt idx="2">
                  <c:v>281207.83</c:v>
                </c:pt>
                <c:pt idx="3">
                  <c:v>684575</c:v>
                </c:pt>
                <c:pt idx="4">
                  <c:v>40371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4339-42E3-8AB6-5B1F22AF8B2E}"/>
            </c:ext>
          </c:extLst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4339-42E3-8AB6-5B1F22AF8B2E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4339-42E3-8AB6-5B1F22AF8B2E}"/>
              </c:ext>
            </c:extLst>
          </c:dPt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ปริมาณ!$Q$15:$Q$19</c:f>
              <c:numCache>
                <c:formatCode>#,##0.00</c:formatCode>
                <c:ptCount val="5"/>
                <c:pt idx="0">
                  <c:v>320161</c:v>
                </c:pt>
                <c:pt idx="1">
                  <c:v>657516.1100000001</c:v>
                </c:pt>
                <c:pt idx="2">
                  <c:v>318988.65999999997</c:v>
                </c:pt>
                <c:pt idx="3">
                  <c:v>807659.47</c:v>
                </c:pt>
                <c:pt idx="4">
                  <c:v>85968.16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4339-42E3-8AB6-5B1F22AF8B2E}"/>
            </c:ext>
          </c:extLst>
        </c:ser>
        <c:ser>
          <c:idx val="13"/>
          <c:order val="13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ปริมาณ!$R$15:$R$19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4339-42E3-8AB6-5B1F22AF8B2E}"/>
            </c:ext>
          </c:extLst>
        </c:ser>
        <c:ser>
          <c:idx val="14"/>
          <c:order val="14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ปริมาณ!$S$15:$S$19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4339-42E3-8AB6-5B1F22AF8B2E}"/>
            </c:ext>
          </c:extLst>
        </c:ser>
        <c:ser>
          <c:idx val="15"/>
          <c:order val="15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ปริมาณ!$T$15:$T$19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2-4339-42E3-8AB6-5B1F22AF8B2E}"/>
            </c:ext>
          </c:extLst>
        </c:ser>
        <c:ser>
          <c:idx val="16"/>
          <c:order val="16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ปริมาณ!$U$15:$U$19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3-4339-42E3-8AB6-5B1F22AF8B2E}"/>
            </c:ext>
          </c:extLst>
        </c:ser>
        <c:ser>
          <c:idx val="17"/>
          <c:order val="17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ปริมาณ!$V$15:$V$19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4-4339-42E3-8AB6-5B1F22AF8B2E}"/>
            </c:ext>
          </c:extLst>
        </c:ser>
        <c:ser>
          <c:idx val="18"/>
          <c:order val="18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ปริมาณ!$W$15:$W$19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5-4339-42E3-8AB6-5B1F22AF8B2E}"/>
            </c:ext>
          </c:extLst>
        </c:ser>
        <c:ser>
          <c:idx val="19"/>
          <c:order val="19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ปริมาณ!$X$15:$X$19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6-4339-42E3-8AB6-5B1F22AF8B2E}"/>
            </c:ext>
          </c:extLst>
        </c:ser>
        <c:ser>
          <c:idx val="20"/>
          <c:order val="20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ปริมาณ!$Y$15:$Y$19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7-4339-42E3-8AB6-5B1F22AF8B2E}"/>
            </c:ext>
          </c:extLst>
        </c:ser>
        <c:ser>
          <c:idx val="21"/>
          <c:order val="21"/>
          <c:invertIfNegative val="1"/>
          <c:cat>
            <c:strRef>
              <c:f>ปริมาณ!$B$15:$B$19</c:f>
              <c:strCache>
                <c:ptCount val="5"/>
                <c:pt idx="0">
                  <c:v>ปากน้ำประแสร์</c:v>
                </c:pt>
                <c:pt idx="1">
                  <c:v>จันทบุรี</c:v>
                </c:pt>
                <c:pt idx="2">
                  <c:v>ขลุง</c:v>
                </c:pt>
                <c:pt idx="3">
                  <c:v>ตราด</c:v>
                </c:pt>
                <c:pt idx="4">
                  <c:v>คลองใหญ่</c:v>
                </c:pt>
              </c:strCache>
            </c:strRef>
          </c:cat>
          <c:val>
            <c:numRef>
              <c:f>ปริมาณ!$Z$15:$Z$19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8-4339-42E3-8AB6-5B1F22AF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287423"/>
        <c:axId val="1024771630"/>
      </c:barChart>
      <c:catAx>
        <c:axId val="34828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024771630"/>
        <c:crosses val="autoZero"/>
        <c:auto val="1"/>
        <c:lblAlgn val="ctr"/>
        <c:lblOffset val="100"/>
        <c:noMultiLvlLbl val="1"/>
      </c:catAx>
      <c:valAx>
        <c:axId val="1024771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3482874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ปริมาณ!$E$20:$E$24</c:f>
              <c:numCache>
                <c:formatCode>#,##0</c:formatCode>
                <c:ptCount val="5"/>
                <c:pt idx="0">
                  <c:v>235319</c:v>
                </c:pt>
                <c:pt idx="1">
                  <c:v>16109</c:v>
                </c:pt>
                <c:pt idx="2">
                  <c:v>196307</c:v>
                </c:pt>
                <c:pt idx="3">
                  <c:v>319120</c:v>
                </c:pt>
                <c:pt idx="4">
                  <c:v>176212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45-440C-885F-3FFA41BBB151}"/>
            </c:ext>
          </c:extLst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ปริมาณ!$F$20:$F$24</c:f>
              <c:numCache>
                <c:formatCode>#,##0.00</c:formatCode>
                <c:ptCount val="5"/>
                <c:pt idx="0">
                  <c:v>221156</c:v>
                </c:pt>
                <c:pt idx="1">
                  <c:v>24063</c:v>
                </c:pt>
                <c:pt idx="2">
                  <c:v>217039</c:v>
                </c:pt>
                <c:pt idx="3">
                  <c:v>572079</c:v>
                </c:pt>
                <c:pt idx="4">
                  <c:v>158749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445-440C-885F-3FFA41BBB151}"/>
            </c:ext>
          </c:extLst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ปริมาณ!$G$20:$G$24</c:f>
              <c:numCache>
                <c:formatCode>#,##0.00</c:formatCode>
                <c:ptCount val="5"/>
                <c:pt idx="0">
                  <c:v>170750.31</c:v>
                </c:pt>
                <c:pt idx="1">
                  <c:v>19341</c:v>
                </c:pt>
                <c:pt idx="2">
                  <c:v>159275</c:v>
                </c:pt>
                <c:pt idx="3">
                  <c:v>700730</c:v>
                </c:pt>
                <c:pt idx="4">
                  <c:v>110198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445-440C-885F-3FFA41BBB151}"/>
            </c:ext>
          </c:extLst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ปริมาณ!$H$20:$H$24</c:f>
              <c:numCache>
                <c:formatCode>#,##0.00</c:formatCode>
                <c:ptCount val="5"/>
                <c:pt idx="0">
                  <c:v>204060.15000000002</c:v>
                </c:pt>
                <c:pt idx="1">
                  <c:v>26758</c:v>
                </c:pt>
                <c:pt idx="2">
                  <c:v>221473</c:v>
                </c:pt>
                <c:pt idx="3">
                  <c:v>726001</c:v>
                </c:pt>
                <c:pt idx="4">
                  <c:v>176836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445-440C-885F-3FFA41BBB151}"/>
            </c:ext>
          </c:extLst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ปริมาณ!$I$20:$I$24</c:f>
              <c:numCache>
                <c:formatCode>#,##0.00</c:formatCode>
                <c:ptCount val="5"/>
                <c:pt idx="0">
                  <c:v>185069.57</c:v>
                </c:pt>
                <c:pt idx="1">
                  <c:v>27957.54</c:v>
                </c:pt>
                <c:pt idx="2">
                  <c:v>216384</c:v>
                </c:pt>
                <c:pt idx="3">
                  <c:v>792743</c:v>
                </c:pt>
                <c:pt idx="4">
                  <c:v>173034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445-440C-885F-3FFA41BBB151}"/>
            </c:ext>
          </c:extLst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ปริมาณ!$J$20:$J$24</c:f>
              <c:numCache>
                <c:formatCode>#,##0.00</c:formatCode>
                <c:ptCount val="5"/>
                <c:pt idx="0">
                  <c:v>274872.54000000004</c:v>
                </c:pt>
                <c:pt idx="1">
                  <c:v>34399.96</c:v>
                </c:pt>
                <c:pt idx="2">
                  <c:v>231011</c:v>
                </c:pt>
                <c:pt idx="3">
                  <c:v>784294</c:v>
                </c:pt>
                <c:pt idx="4">
                  <c:v>173427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445-440C-885F-3FFA41BBB151}"/>
            </c:ext>
          </c:extLst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ปริมาณ!$K$20:$K$24</c:f>
              <c:numCache>
                <c:formatCode>#,##0.00</c:formatCode>
                <c:ptCount val="5"/>
                <c:pt idx="0">
                  <c:v>166656.66999999998</c:v>
                </c:pt>
                <c:pt idx="1">
                  <c:v>37001.17</c:v>
                </c:pt>
                <c:pt idx="2">
                  <c:v>218001</c:v>
                </c:pt>
                <c:pt idx="3">
                  <c:v>760013</c:v>
                </c:pt>
                <c:pt idx="4">
                  <c:v>147858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445-440C-885F-3FFA41BBB151}"/>
            </c:ext>
          </c:extLst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ปริมาณ!$L$20:$L$24</c:f>
              <c:numCache>
                <c:formatCode>#,##0.00</c:formatCode>
                <c:ptCount val="5"/>
                <c:pt idx="0">
                  <c:v>200180.77000000002</c:v>
                </c:pt>
                <c:pt idx="1">
                  <c:v>46645</c:v>
                </c:pt>
                <c:pt idx="2">
                  <c:v>188582</c:v>
                </c:pt>
                <c:pt idx="3">
                  <c:v>714164</c:v>
                </c:pt>
                <c:pt idx="4">
                  <c:v>172810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7445-440C-885F-3FFA41BBB151}"/>
            </c:ext>
          </c:extLst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ปริมาณ!$M$20:$M$24</c:f>
              <c:numCache>
                <c:formatCode>#,##0.00</c:formatCode>
                <c:ptCount val="5"/>
                <c:pt idx="0">
                  <c:v>188789.24</c:v>
                </c:pt>
                <c:pt idx="1">
                  <c:v>39218.49</c:v>
                </c:pt>
                <c:pt idx="2">
                  <c:v>181415</c:v>
                </c:pt>
                <c:pt idx="3">
                  <c:v>789386</c:v>
                </c:pt>
                <c:pt idx="4">
                  <c:v>165792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7445-440C-885F-3FFA41BBB151}"/>
            </c:ext>
          </c:extLst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ปริมาณ!$N$20:$N$24</c:f>
              <c:numCache>
                <c:formatCode>#,##0.00</c:formatCode>
                <c:ptCount val="5"/>
                <c:pt idx="0">
                  <c:v>188276.30000000005</c:v>
                </c:pt>
                <c:pt idx="1">
                  <c:v>28706.11</c:v>
                </c:pt>
                <c:pt idx="2">
                  <c:v>210588</c:v>
                </c:pt>
                <c:pt idx="3">
                  <c:v>776292</c:v>
                </c:pt>
                <c:pt idx="4">
                  <c:v>156321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7445-440C-885F-3FFA41BBB151}"/>
            </c:ext>
          </c:extLst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ปริมาณ!$O$20:$O$24</c:f>
              <c:numCache>
                <c:formatCode>#,##0.00</c:formatCode>
                <c:ptCount val="5"/>
                <c:pt idx="0">
                  <c:v>250955.87</c:v>
                </c:pt>
                <c:pt idx="1">
                  <c:v>38004.85</c:v>
                </c:pt>
                <c:pt idx="2">
                  <c:v>250927</c:v>
                </c:pt>
                <c:pt idx="3">
                  <c:v>870812</c:v>
                </c:pt>
                <c:pt idx="4">
                  <c:v>188142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7445-440C-885F-3FFA41BBB151}"/>
            </c:ext>
          </c:extLst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ปริมาณ!$P$20:$P$24</c:f>
              <c:numCache>
                <c:formatCode>#,##0.00</c:formatCode>
                <c:ptCount val="5"/>
                <c:pt idx="0">
                  <c:v>209984.30000000005</c:v>
                </c:pt>
                <c:pt idx="1">
                  <c:v>28066.53</c:v>
                </c:pt>
                <c:pt idx="2">
                  <c:v>237047</c:v>
                </c:pt>
                <c:pt idx="3">
                  <c:v>797821</c:v>
                </c:pt>
                <c:pt idx="4">
                  <c:v>169272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7445-440C-885F-3FFA41BBB151}"/>
            </c:ext>
          </c:extLst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ปริมาณ!$B$20:$B$24</c:f>
              <c:strCache>
                <c:ptCount val="5"/>
                <c:pt idx="0">
                  <c:v>สระแก้ว</c:v>
                </c:pt>
                <c:pt idx="1">
                  <c:v>วัฒนานคร</c:v>
                </c:pt>
                <c:pt idx="2">
                  <c:v>อรัญประเทศ</c:v>
                </c:pt>
                <c:pt idx="3">
                  <c:v>ปราจีนบุรี</c:v>
                </c:pt>
                <c:pt idx="4">
                  <c:v>กบินทร์บุรี</c:v>
                </c:pt>
              </c:strCache>
            </c:strRef>
          </c:cat>
          <c:val>
            <c:numRef>
              <c:f>ปริมาณ!$Q$20:$Q$24</c:f>
              <c:numCache>
                <c:formatCode>#,##0.00</c:formatCode>
                <c:ptCount val="5"/>
                <c:pt idx="0">
                  <c:v>264596.40000000002</c:v>
                </c:pt>
                <c:pt idx="1">
                  <c:v>36133.39</c:v>
                </c:pt>
                <c:pt idx="2">
                  <c:v>220483</c:v>
                </c:pt>
                <c:pt idx="3">
                  <c:v>744241</c:v>
                </c:pt>
                <c:pt idx="4">
                  <c:v>185920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7445-440C-885F-3FFA41BBB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7971792"/>
        <c:axId val="1298933690"/>
      </c:barChart>
      <c:catAx>
        <c:axId val="192797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298933690"/>
        <c:crosses val="autoZero"/>
        <c:auto val="1"/>
        <c:lblAlgn val="ctr"/>
        <c:lblOffset val="100"/>
        <c:noMultiLvlLbl val="1"/>
      </c:catAx>
      <c:valAx>
        <c:axId val="1298933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9279717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lang="th-TH" b="0">
                <a:solidFill>
                  <a:srgbClr val="838383"/>
                </a:solidFill>
                <a:latin typeface="+mn-lt"/>
              </a:rPr>
              <a:t>ภาพรวม กปภ.ข.1 </a:t>
            </a:r>
            <a:r>
              <a:rPr lang="en-US" b="0">
                <a:solidFill>
                  <a:srgbClr val="838383"/>
                </a:solidFill>
                <a:latin typeface="+mn-lt"/>
              </a:rPr>
              <a:t>vs. </a:t>
            </a:r>
            <a:r>
              <a:rPr lang="th-TH" b="0">
                <a:solidFill>
                  <a:srgbClr val="838383"/>
                </a:solidFill>
                <a:latin typeface="+mn-lt"/>
              </a:rPr>
              <a:t>เดือน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ปริมาณ!$A$70</c:f>
              <c:strCache>
                <c:ptCount val="1"/>
                <c:pt idx="0">
                  <c:v>ภาพรวม กปภ.ข.1</c:v>
                </c:pt>
              </c:strCache>
            </c:strRef>
          </c:tx>
          <c:spPr>
            <a:ln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ปริมาณ!$B$69:$P$69</c:f>
              <c:strCache>
                <c:ptCount val="15"/>
                <c:pt idx="0">
                  <c:v>ต.ค. 67</c:v>
                </c:pt>
                <c:pt idx="1">
                  <c:v>พ.ย. 67</c:v>
                </c:pt>
                <c:pt idx="2">
                  <c:v>ธ.ค. 67</c:v>
                </c:pt>
                <c:pt idx="3">
                  <c:v>ม.ค. 68</c:v>
                </c:pt>
                <c:pt idx="4">
                  <c:v>ก.พ. 68</c:v>
                </c:pt>
                <c:pt idx="5">
                  <c:v>มี.ค. 68</c:v>
                </c:pt>
                <c:pt idx="6">
                  <c:v>เม.ย. 68</c:v>
                </c:pt>
                <c:pt idx="7">
                  <c:v>พ.ค. 68</c:v>
                </c:pt>
                <c:pt idx="8">
                  <c:v>มิ.ย. 68</c:v>
                </c:pt>
                <c:pt idx="9">
                  <c:v>ก.ค. 68</c:v>
                </c:pt>
                <c:pt idx="10">
                  <c:v>ส.ค. 68</c:v>
                </c:pt>
                <c:pt idx="11">
                  <c:v>ก.ย. 68</c:v>
                </c:pt>
                <c:pt idx="12">
                  <c:v>ต.ค. 68</c:v>
                </c:pt>
                <c:pt idx="13">
                  <c:v>พ.ย. 68</c:v>
                </c:pt>
                <c:pt idx="14">
                  <c:v>ธ.ค. 68</c:v>
                </c:pt>
              </c:strCache>
            </c:strRef>
          </c:cat>
          <c:val>
            <c:numRef>
              <c:f>ปริมาณ!$B$70:$P$70</c:f>
              <c:numCache>
                <c:formatCode>#,##0.00</c:formatCode>
                <c:ptCount val="15"/>
                <c:pt idx="0">
                  <c:v>11188922.009999998</c:v>
                </c:pt>
                <c:pt idx="1">
                  <c:v>10600814.199999999</c:v>
                </c:pt>
                <c:pt idx="2" formatCode="#,##0">
                  <c:v>10620456</c:v>
                </c:pt>
                <c:pt idx="3">
                  <c:v>10916009.110000001</c:v>
                </c:pt>
                <c:pt idx="4">
                  <c:v>10033898.449999999</c:v>
                </c:pt>
                <c:pt idx="5">
                  <c:v>10576507.870000001</c:v>
                </c:pt>
                <c:pt idx="6">
                  <c:v>11026631.909999996</c:v>
                </c:pt>
                <c:pt idx="7">
                  <c:v>11718881.280000001</c:v>
                </c:pt>
                <c:pt idx="8">
                  <c:v>11000964.58</c:v>
                </c:pt>
                <c:pt idx="9">
                  <c:v>11213234.150000002</c:v>
                </c:pt>
                <c:pt idx="10">
                  <c:v>10637615.949999999</c:v>
                </c:pt>
                <c:pt idx="11">
                  <c:v>9978489.2200000007</c:v>
                </c:pt>
                <c:pt idx="12">
                  <c:v>12083278.5</c:v>
                </c:pt>
                <c:pt idx="13">
                  <c:v>10873217.439999999</c:v>
                </c:pt>
                <c:pt idx="14">
                  <c:v>12273693.190000001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1-4804-8179-B08375F9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344581"/>
        <c:axId val="1277268675"/>
      </c:lineChart>
      <c:catAx>
        <c:axId val="932344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lang="th-TH" b="0">
                    <a:solidFill>
                      <a:srgbClr val="1A1A1A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1277268675"/>
        <c:crosses val="autoZero"/>
        <c:auto val="1"/>
        <c:lblAlgn val="ctr"/>
        <c:lblOffset val="100"/>
        <c:noMultiLvlLbl val="1"/>
      </c:catAx>
      <c:valAx>
        <c:axId val="1277268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lang="th-TH" b="0">
                    <a:solidFill>
                      <a:srgbClr val="1A1A1A"/>
                    </a:solidFill>
                    <a:latin typeface="+mn-lt"/>
                  </a:rPr>
                  <a:t>ภาพรวม กปภ.ข.1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  <a:endParaRPr lang="th-TH"/>
          </a:p>
        </c:txPr>
        <c:crossAx val="9323445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26</xdr:row>
      <xdr:rowOff>76200</xdr:rowOff>
    </xdr:from>
    <xdr:ext cx="9715500" cy="3867150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19050</xdr:colOff>
      <xdr:row>25</xdr:row>
      <xdr:rowOff>190500</xdr:rowOff>
    </xdr:from>
    <xdr:ext cx="9563100" cy="3952875"/>
    <xdr:graphicFrame macro="">
      <xdr:nvGraphicFramePr>
        <xdr:cNvPr id="3" name="Chart 2" title="แผนภูมิ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28575</xdr:colOff>
      <xdr:row>47</xdr:row>
      <xdr:rowOff>28575</xdr:rowOff>
    </xdr:from>
    <xdr:ext cx="9677400" cy="3914775"/>
    <xdr:graphicFrame macro="">
      <xdr:nvGraphicFramePr>
        <xdr:cNvPr id="4" name="Chart 3" title="แผนภูมิ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19050</xdr:colOff>
      <xdr:row>47</xdr:row>
      <xdr:rowOff>28575</xdr:rowOff>
    </xdr:from>
    <xdr:ext cx="9563100" cy="3952875"/>
    <xdr:graphicFrame macro="">
      <xdr:nvGraphicFramePr>
        <xdr:cNvPr id="5" name="Chart 4" title="แผนภูมิ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26</xdr:row>
      <xdr:rowOff>76200</xdr:rowOff>
    </xdr:from>
    <xdr:ext cx="9715500" cy="3867150"/>
    <xdr:graphicFrame macro="">
      <xdr:nvGraphicFramePr>
        <xdr:cNvPr id="5" name="Chart 5" title="แผนภูมิ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19050</xdr:colOff>
      <xdr:row>25</xdr:row>
      <xdr:rowOff>190500</xdr:rowOff>
    </xdr:from>
    <xdr:ext cx="9563100" cy="3952875"/>
    <xdr:graphicFrame macro="">
      <xdr:nvGraphicFramePr>
        <xdr:cNvPr id="6" name="Chart 6" title="แผนภูมิ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28575</xdr:colOff>
      <xdr:row>47</xdr:row>
      <xdr:rowOff>28575</xdr:rowOff>
    </xdr:from>
    <xdr:ext cx="9677400" cy="3914775"/>
    <xdr:graphicFrame macro="">
      <xdr:nvGraphicFramePr>
        <xdr:cNvPr id="7" name="Chart 7" title="แผนภูมิ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19050</xdr:colOff>
      <xdr:row>47</xdr:row>
      <xdr:rowOff>28575</xdr:rowOff>
    </xdr:from>
    <xdr:ext cx="9563100" cy="3952875"/>
    <xdr:graphicFrame macro="">
      <xdr:nvGraphicFramePr>
        <xdr:cNvPr id="8" name="Chart 8" title="แผนภูมิ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1000125</xdr:colOff>
      <xdr:row>74</xdr:row>
      <xdr:rowOff>123825</xdr:rowOff>
    </xdr:from>
    <xdr:ext cx="805815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AA27" sqref="AA27"/>
    </sheetView>
  </sheetViews>
  <sheetFormatPr defaultColWidth="11.25" defaultRowHeight="15.75" customHeight="1"/>
  <cols>
    <col min="1" max="1" width="7.5" customWidth="1"/>
    <col min="2" max="2" width="12.75" customWidth="1"/>
  </cols>
  <sheetData>
    <row r="1" spans="1:27" ht="15.75" customHeight="1">
      <c r="A1" s="1"/>
      <c r="B1" s="2" t="s">
        <v>0</v>
      </c>
      <c r="C1" s="63" t="s">
        <v>1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  <c r="O1" s="66" t="s">
        <v>2</v>
      </c>
      <c r="P1" s="64"/>
      <c r="Q1" s="64"/>
      <c r="R1" s="64"/>
      <c r="S1" s="64"/>
      <c r="T1" s="64"/>
      <c r="U1" s="64"/>
      <c r="V1" s="64"/>
      <c r="W1" s="64"/>
      <c r="X1" s="64"/>
      <c r="Y1" s="64"/>
      <c r="Z1" s="65"/>
      <c r="AA1" s="3"/>
    </row>
    <row r="2" spans="1:27" ht="15.75" customHeight="1">
      <c r="A2" s="4"/>
      <c r="B2" s="5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3"/>
    </row>
    <row r="3" spans="1:27" ht="15.75" customHeight="1">
      <c r="A3" s="8">
        <v>1</v>
      </c>
      <c r="B3" s="7" t="s">
        <v>27</v>
      </c>
      <c r="C3" s="7">
        <v>21.09</v>
      </c>
      <c r="D3" s="7">
        <v>20.51</v>
      </c>
      <c r="E3" s="7">
        <v>22.15</v>
      </c>
      <c r="F3" s="7">
        <v>22.51</v>
      </c>
      <c r="G3" s="7">
        <v>20.07</v>
      </c>
      <c r="H3" s="7">
        <v>19.23</v>
      </c>
      <c r="I3" s="7">
        <v>23.2</v>
      </c>
      <c r="J3" s="7">
        <v>23.36</v>
      </c>
      <c r="K3" s="7">
        <v>22.69</v>
      </c>
      <c r="L3" s="7">
        <v>21.92</v>
      </c>
      <c r="M3" s="7">
        <v>22.5</v>
      </c>
      <c r="N3" s="7">
        <v>20.87</v>
      </c>
      <c r="O3" s="9">
        <f>'ต.ค.68'!H4</f>
        <v>23.194085920110176</v>
      </c>
      <c r="P3" s="10" t="e">
        <f ca="1">VLOOKUP(A3,'พ.ย. 68'!$A$2:$N$26,10,1)</f>
        <v>#N/A</v>
      </c>
      <c r="Q3" s="10" t="e">
        <f ca="1">VLOOKUP(A3,'ธ.ค. 68'!$A$2:$N$26,10,1)</f>
        <v>#N/A</v>
      </c>
      <c r="R3" s="1">
        <v>25.470582374570039</v>
      </c>
      <c r="S3" s="11"/>
      <c r="T3" s="11"/>
      <c r="U3" s="11"/>
      <c r="V3" s="11"/>
      <c r="W3" s="11"/>
      <c r="X3" s="11"/>
      <c r="Y3" s="11"/>
      <c r="Z3" s="11"/>
      <c r="AA3" s="3"/>
    </row>
    <row r="4" spans="1:27" ht="15.75" customHeight="1">
      <c r="A4" s="8">
        <v>2</v>
      </c>
      <c r="B4" s="7" t="s">
        <v>28</v>
      </c>
      <c r="C4" s="7">
        <v>22.05</v>
      </c>
      <c r="D4" s="7">
        <v>23.02</v>
      </c>
      <c r="E4" s="7">
        <v>15.89</v>
      </c>
      <c r="F4" s="7">
        <v>24.22</v>
      </c>
      <c r="G4" s="7">
        <v>30.77</v>
      </c>
      <c r="H4" s="7">
        <v>14.22</v>
      </c>
      <c r="I4" s="7">
        <v>23.66</v>
      </c>
      <c r="J4" s="7">
        <v>22.13</v>
      </c>
      <c r="K4" s="7">
        <v>27.7</v>
      </c>
      <c r="L4" s="7">
        <v>23.67</v>
      </c>
      <c r="M4" s="7">
        <v>18.18</v>
      </c>
      <c r="N4" s="7">
        <v>18.2</v>
      </c>
      <c r="O4" s="9">
        <f>'ต.ค.68'!H5</f>
        <v>23.490939922093386</v>
      </c>
      <c r="P4" s="10" t="e">
        <f ca="1">VLOOKUP(A4,'พ.ย. 68'!$A$2:$N$26,10,1)</f>
        <v>#N/A</v>
      </c>
      <c r="Q4" s="10" t="e">
        <f ca="1">VLOOKUP(A4,'ธ.ค. 68'!$A$2:$N$26,10,1)</f>
        <v>#N/A</v>
      </c>
      <c r="R4" s="4">
        <v>20.267585988545829</v>
      </c>
      <c r="S4" s="11"/>
      <c r="T4" s="11"/>
      <c r="U4" s="11"/>
      <c r="V4" s="11"/>
      <c r="W4" s="11"/>
      <c r="X4" s="11"/>
      <c r="Y4" s="11"/>
      <c r="Z4" s="11"/>
      <c r="AA4" s="3"/>
    </row>
    <row r="5" spans="1:27" ht="15.75" customHeight="1">
      <c r="A5" s="8">
        <v>3</v>
      </c>
      <c r="B5" s="7" t="s">
        <v>29</v>
      </c>
      <c r="C5" s="7">
        <v>28.53</v>
      </c>
      <c r="D5" s="7">
        <v>22.39</v>
      </c>
      <c r="E5" s="7">
        <v>28.24</v>
      </c>
      <c r="F5" s="7">
        <v>25.64</v>
      </c>
      <c r="G5" s="7">
        <v>20.190000000000001</v>
      </c>
      <c r="H5" s="7">
        <v>24.32</v>
      </c>
      <c r="I5" s="7">
        <v>25.42</v>
      </c>
      <c r="J5" s="7">
        <v>26.11</v>
      </c>
      <c r="K5" s="7">
        <v>25.89</v>
      </c>
      <c r="L5" s="7">
        <v>23.44</v>
      </c>
      <c r="M5" s="7">
        <v>24.96</v>
      </c>
      <c r="N5" s="7">
        <v>26.83</v>
      </c>
      <c r="O5" s="9">
        <f>'ต.ค.68'!H6</f>
        <v>30.737660834734033</v>
      </c>
      <c r="P5" s="10" t="e">
        <f ca="1">VLOOKUP(A5,'พ.ย. 68'!$A$2:$N$26,10,1)</f>
        <v>#N/A</v>
      </c>
      <c r="Q5" s="10" t="e">
        <f ca="1">VLOOKUP(A5,'ธ.ค. 68'!$A$2:$N$26,10,1)</f>
        <v>#N/A</v>
      </c>
      <c r="R5" s="4">
        <v>28.591624389765375</v>
      </c>
      <c r="S5" s="11"/>
      <c r="T5" s="11"/>
      <c r="U5" s="11"/>
      <c r="V5" s="11"/>
      <c r="W5" s="11"/>
      <c r="X5" s="11"/>
      <c r="Y5" s="11"/>
      <c r="Z5" s="11"/>
      <c r="AA5" s="3"/>
    </row>
    <row r="6" spans="1:27" ht="15.75" customHeight="1">
      <c r="A6" s="8">
        <v>4</v>
      </c>
      <c r="B6" s="7" t="s">
        <v>30</v>
      </c>
      <c r="C6" s="7">
        <v>21.93</v>
      </c>
      <c r="D6" s="7">
        <v>19.46</v>
      </c>
      <c r="E6" s="7">
        <v>24.27</v>
      </c>
      <c r="F6" s="7">
        <v>20.34</v>
      </c>
      <c r="G6" s="7">
        <v>18.32</v>
      </c>
      <c r="H6" s="7">
        <v>19.989999999999998</v>
      </c>
      <c r="I6" s="7">
        <v>20.09</v>
      </c>
      <c r="J6" s="7">
        <v>21.77</v>
      </c>
      <c r="K6" s="7">
        <v>20.11</v>
      </c>
      <c r="L6" s="7">
        <v>26.94</v>
      </c>
      <c r="M6" s="7">
        <v>24.26</v>
      </c>
      <c r="N6" s="7">
        <v>20.28</v>
      </c>
      <c r="O6" s="9">
        <f>'ต.ค.68'!H7</f>
        <v>25.616319937405745</v>
      </c>
      <c r="P6" s="10" t="e">
        <f ca="1">VLOOKUP(A6,'พ.ย. 68'!$A$2:$N$26,10,1)</f>
        <v>#N/A</v>
      </c>
      <c r="Q6" s="10" t="e">
        <f ca="1">VLOOKUP(A6,'ธ.ค. 68'!$A$2:$N$26,10,1)</f>
        <v>#N/A</v>
      </c>
      <c r="R6" s="4">
        <v>19.648354059370554</v>
      </c>
      <c r="S6" s="11"/>
      <c r="T6" s="11"/>
      <c r="U6" s="11"/>
      <c r="V6" s="11"/>
      <c r="W6" s="11"/>
      <c r="X6" s="11"/>
      <c r="Y6" s="11"/>
      <c r="Z6" s="11"/>
      <c r="AA6" s="3"/>
    </row>
    <row r="7" spans="1:27" ht="15.75" customHeight="1">
      <c r="A7" s="8">
        <v>5</v>
      </c>
      <c r="B7" s="7" t="s">
        <v>31</v>
      </c>
      <c r="C7" s="7">
        <v>24.57</v>
      </c>
      <c r="D7" s="7">
        <v>26.22</v>
      </c>
      <c r="E7" s="7">
        <v>25.54</v>
      </c>
      <c r="F7" s="7">
        <v>28.28</v>
      </c>
      <c r="G7" s="7">
        <v>28.94</v>
      </c>
      <c r="H7" s="7">
        <v>29.26</v>
      </c>
      <c r="I7" s="7">
        <v>29.43</v>
      </c>
      <c r="J7" s="7">
        <v>31.61</v>
      </c>
      <c r="K7" s="7">
        <v>34.700000000000003</v>
      </c>
      <c r="L7" s="7">
        <v>35.14</v>
      </c>
      <c r="M7" s="7">
        <v>34.82</v>
      </c>
      <c r="N7" s="7">
        <v>30.31</v>
      </c>
      <c r="O7" s="9">
        <f>'ต.ค.68'!H8</f>
        <v>35.487825192505937</v>
      </c>
      <c r="P7" s="10" t="e">
        <f ca="1">VLOOKUP(A7,'พ.ย. 68'!$A$2:$N$26,10,1)</f>
        <v>#N/A</v>
      </c>
      <c r="Q7" s="10" t="e">
        <f ca="1">VLOOKUP(A7,'ธ.ค. 68'!$A$2:$N$26,10,1)</f>
        <v>#N/A</v>
      </c>
      <c r="R7" s="4">
        <v>30.682490508529959</v>
      </c>
      <c r="S7" s="11"/>
      <c r="T7" s="11"/>
      <c r="U7" s="11"/>
      <c r="V7" s="11"/>
      <c r="W7" s="11"/>
      <c r="X7" s="11"/>
      <c r="Y7" s="11"/>
      <c r="Z7" s="11"/>
      <c r="AA7" s="3"/>
    </row>
    <row r="8" spans="1:27" ht="15.75" customHeight="1">
      <c r="A8" s="8">
        <v>6</v>
      </c>
      <c r="B8" s="7" t="s">
        <v>32</v>
      </c>
      <c r="C8" s="7">
        <v>17.64</v>
      </c>
      <c r="D8" s="7">
        <v>16.38</v>
      </c>
      <c r="E8" s="7">
        <v>15.54</v>
      </c>
      <c r="F8" s="7">
        <v>17.46</v>
      </c>
      <c r="G8" s="7">
        <v>21.77</v>
      </c>
      <c r="H8" s="7">
        <v>24.43</v>
      </c>
      <c r="I8" s="7">
        <v>22.54</v>
      </c>
      <c r="J8" s="7">
        <v>26.39</v>
      </c>
      <c r="K8" s="7">
        <v>24.87</v>
      </c>
      <c r="L8" s="7">
        <v>24.71</v>
      </c>
      <c r="M8" s="7">
        <v>21.91</v>
      </c>
      <c r="N8" s="7">
        <v>22.48</v>
      </c>
      <c r="O8" s="9">
        <f>'ต.ค.68'!H9</f>
        <v>28.397525021926796</v>
      </c>
      <c r="P8" s="10" t="e">
        <f ca="1">VLOOKUP(A8,'พ.ย. 68'!$A$2:$N$26,10,1)</f>
        <v>#N/A</v>
      </c>
      <c r="Q8" s="10" t="e">
        <f ca="1">VLOOKUP(A8,'ธ.ค. 68'!$A$2:$N$26,10,1)</f>
        <v>#N/A</v>
      </c>
      <c r="R8" s="4">
        <v>24.373788246829942</v>
      </c>
      <c r="S8" s="11"/>
      <c r="T8" s="11"/>
      <c r="U8" s="11"/>
      <c r="V8" s="11"/>
      <c r="W8" s="11"/>
      <c r="X8" s="11"/>
      <c r="Y8" s="11"/>
      <c r="Z8" s="11"/>
      <c r="AA8" s="3"/>
    </row>
    <row r="9" spans="1:27" ht="15.75" customHeight="1">
      <c r="A9" s="8">
        <v>7</v>
      </c>
      <c r="B9" s="7" t="s">
        <v>33</v>
      </c>
      <c r="C9" s="7">
        <v>14.98</v>
      </c>
      <c r="D9" s="7">
        <v>15.03</v>
      </c>
      <c r="E9" s="7">
        <v>14.64</v>
      </c>
      <c r="F9" s="7">
        <v>12.32</v>
      </c>
      <c r="G9" s="7">
        <v>14.08</v>
      </c>
      <c r="H9" s="7">
        <v>14.91</v>
      </c>
      <c r="I9" s="7">
        <v>11.37</v>
      </c>
      <c r="J9" s="7">
        <v>15.88</v>
      </c>
      <c r="K9" s="7">
        <v>13.68</v>
      </c>
      <c r="L9" s="7">
        <v>10.19</v>
      </c>
      <c r="M9" s="7">
        <v>8.67</v>
      </c>
      <c r="N9" s="7">
        <v>9.16</v>
      </c>
      <c r="O9" s="9">
        <f>'ต.ค.68'!H10</f>
        <v>11.324657890096304</v>
      </c>
      <c r="P9" s="10" t="e">
        <f ca="1">VLOOKUP(A9,'พ.ย. 68'!$A$2:$N$26,10,1)</f>
        <v>#N/A</v>
      </c>
      <c r="Q9" s="10" t="e">
        <f ca="1">VLOOKUP(A9,'ธ.ค. 68'!$A$2:$N$26,10,1)</f>
        <v>#N/A</v>
      </c>
      <c r="R9" s="12">
        <v>10.86244492725098</v>
      </c>
      <c r="S9" s="11"/>
      <c r="T9" s="11"/>
      <c r="U9" s="11"/>
      <c r="V9" s="11"/>
      <c r="W9" s="11"/>
      <c r="X9" s="11"/>
      <c r="Y9" s="11"/>
      <c r="Z9" s="11"/>
      <c r="AA9" s="3"/>
    </row>
    <row r="10" spans="1:27" ht="15.75" customHeight="1">
      <c r="A10" s="8">
        <v>8</v>
      </c>
      <c r="B10" s="7" t="s">
        <v>34</v>
      </c>
      <c r="C10" s="7">
        <v>11.46</v>
      </c>
      <c r="D10" s="7">
        <v>9.99</v>
      </c>
      <c r="E10" s="7">
        <v>11.82</v>
      </c>
      <c r="F10" s="7">
        <v>11.22</v>
      </c>
      <c r="G10" s="7">
        <v>9.14</v>
      </c>
      <c r="H10" s="7">
        <v>8.34</v>
      </c>
      <c r="I10" s="7">
        <v>7.41</v>
      </c>
      <c r="J10" s="7">
        <v>8.0399999999999991</v>
      </c>
      <c r="K10" s="7">
        <v>10</v>
      </c>
      <c r="L10" s="7">
        <v>8.85</v>
      </c>
      <c r="M10" s="7">
        <v>1.17</v>
      </c>
      <c r="N10" s="7">
        <v>7.41</v>
      </c>
      <c r="O10" s="9">
        <f>'ต.ค.68'!H11</f>
        <v>13.455323647924292</v>
      </c>
      <c r="P10" s="10" t="e">
        <f ca="1">VLOOKUP(A10,'พ.ย. 68'!$A$2:$N$26,10,1)</f>
        <v>#N/A</v>
      </c>
      <c r="Q10" s="10" t="e">
        <f ca="1">VLOOKUP(A10,'ธ.ค. 68'!$A$2:$N$26,10,1)</f>
        <v>#N/A</v>
      </c>
      <c r="R10" s="4">
        <v>9.8837554423689316</v>
      </c>
      <c r="S10" s="11"/>
      <c r="T10" s="11"/>
      <c r="U10" s="11"/>
      <c r="V10" s="11"/>
      <c r="W10" s="11"/>
      <c r="X10" s="11"/>
      <c r="Y10" s="11"/>
      <c r="Z10" s="11"/>
      <c r="AA10" s="3"/>
    </row>
    <row r="11" spans="1:27" ht="15.75" customHeight="1">
      <c r="A11" s="8">
        <v>9</v>
      </c>
      <c r="B11" s="7" t="s">
        <v>35</v>
      </c>
      <c r="C11" s="7">
        <v>28.6</v>
      </c>
      <c r="D11" s="7">
        <v>28.21</v>
      </c>
      <c r="E11" s="7">
        <v>27.32</v>
      </c>
      <c r="F11" s="7">
        <v>25.8</v>
      </c>
      <c r="G11" s="7">
        <v>25.83</v>
      </c>
      <c r="H11" s="7">
        <v>27.34</v>
      </c>
      <c r="I11" s="7">
        <v>23.75</v>
      </c>
      <c r="J11" s="7">
        <v>29.65</v>
      </c>
      <c r="K11" s="7">
        <v>29.2</v>
      </c>
      <c r="L11" s="7">
        <v>28.99</v>
      </c>
      <c r="M11" s="7">
        <v>26.97</v>
      </c>
      <c r="N11" s="7">
        <v>22.85</v>
      </c>
      <c r="O11" s="9">
        <f>'ต.ค.68'!H12</f>
        <v>32.464967250840857</v>
      </c>
      <c r="P11" s="10" t="e">
        <f ca="1">VLOOKUP(A11,'พ.ย. 68'!$A$2:$N$26,10,1)</f>
        <v>#N/A</v>
      </c>
      <c r="Q11" s="10" t="e">
        <f ca="1">VLOOKUP(A11,'ธ.ค. 68'!$A$2:$N$26,10,1)</f>
        <v>#N/A</v>
      </c>
      <c r="R11" s="4">
        <v>28.161334101237962</v>
      </c>
      <c r="S11" s="11"/>
      <c r="T11" s="11"/>
      <c r="U11" s="11"/>
      <c r="V11" s="11"/>
      <c r="W11" s="11"/>
      <c r="X11" s="11"/>
      <c r="Y11" s="11"/>
      <c r="Z11" s="11"/>
      <c r="AA11" s="3"/>
    </row>
    <row r="12" spans="1:27" ht="15.75" customHeight="1">
      <c r="A12" s="8">
        <v>10</v>
      </c>
      <c r="B12" s="7" t="s">
        <v>36</v>
      </c>
      <c r="C12" s="7">
        <v>31.75</v>
      </c>
      <c r="D12" s="7">
        <v>30.74</v>
      </c>
      <c r="E12" s="7">
        <v>30.06</v>
      </c>
      <c r="F12" s="7">
        <v>37.11</v>
      </c>
      <c r="G12" s="7">
        <v>35.32</v>
      </c>
      <c r="H12" s="7">
        <v>24.22</v>
      </c>
      <c r="I12" s="7">
        <v>31.16</v>
      </c>
      <c r="J12" s="7">
        <v>31.38</v>
      </c>
      <c r="K12" s="7">
        <v>30.63</v>
      </c>
      <c r="L12" s="7">
        <v>31.38</v>
      </c>
      <c r="M12" s="7">
        <v>30.12</v>
      </c>
      <c r="N12" s="7">
        <v>28.45</v>
      </c>
      <c r="O12" s="9">
        <f>'ต.ค.68'!H13</f>
        <v>30.022146852615862</v>
      </c>
      <c r="P12" s="10" t="e">
        <f ca="1">VLOOKUP(A12,'พ.ย. 68'!$A$2:$N$26,10,1)</f>
        <v>#N/A</v>
      </c>
      <c r="Q12" s="10" t="e">
        <f ca="1">VLOOKUP(A12,'ธ.ค. 68'!$A$2:$N$26,10,1)</f>
        <v>#N/A</v>
      </c>
      <c r="R12" s="4">
        <v>28.796095150901181</v>
      </c>
      <c r="S12" s="11"/>
      <c r="T12" s="11"/>
      <c r="U12" s="11"/>
      <c r="V12" s="11"/>
      <c r="W12" s="11"/>
      <c r="X12" s="11"/>
      <c r="Y12" s="11"/>
      <c r="Z12" s="11"/>
      <c r="AA12" s="3"/>
    </row>
    <row r="13" spans="1:27" ht="15.75" customHeight="1">
      <c r="A13" s="8">
        <v>11</v>
      </c>
      <c r="B13" s="7" t="s">
        <v>37</v>
      </c>
      <c r="C13" s="7">
        <v>15.58</v>
      </c>
      <c r="D13" s="7">
        <v>12.55</v>
      </c>
      <c r="E13" s="7">
        <v>11.33</v>
      </c>
      <c r="F13" s="7">
        <v>15.62</v>
      </c>
      <c r="G13" s="7">
        <v>14.14</v>
      </c>
      <c r="H13" s="7">
        <v>10.23</v>
      </c>
      <c r="I13" s="7">
        <v>10.58</v>
      </c>
      <c r="J13" s="7">
        <v>17.03</v>
      </c>
      <c r="K13" s="7">
        <v>13.29</v>
      </c>
      <c r="L13" s="7">
        <v>16.440000000000001</v>
      </c>
      <c r="M13" s="7">
        <v>13.21</v>
      </c>
      <c r="N13" s="7">
        <v>11.06</v>
      </c>
      <c r="O13" s="9">
        <f>'ต.ค.68'!H14</f>
        <v>16.077662278804773</v>
      </c>
      <c r="P13" s="10" t="e">
        <f ca="1">VLOOKUP(A13,'พ.ย. 68'!$A$2:$N$26,10,1)</f>
        <v>#N/A</v>
      </c>
      <c r="Q13" s="10" t="e">
        <f ca="1">VLOOKUP(A13,'ธ.ค. 68'!$A$2:$N$26,10,1)</f>
        <v>#N/A</v>
      </c>
      <c r="R13" s="4">
        <v>7.7655532824745102</v>
      </c>
      <c r="S13" s="11"/>
      <c r="T13" s="11"/>
      <c r="U13" s="11"/>
      <c r="V13" s="11"/>
      <c r="W13" s="11"/>
      <c r="X13" s="11"/>
      <c r="Y13" s="11"/>
      <c r="Z13" s="11"/>
      <c r="AA13" s="3"/>
    </row>
    <row r="14" spans="1:27" ht="15.75" customHeight="1">
      <c r="A14" s="8">
        <v>12</v>
      </c>
      <c r="B14" s="7" t="s">
        <v>38</v>
      </c>
      <c r="C14" s="7">
        <v>34.950000000000003</v>
      </c>
      <c r="D14" s="7">
        <v>30.6</v>
      </c>
      <c r="E14" s="7">
        <v>32</v>
      </c>
      <c r="F14" s="7">
        <v>30.6</v>
      </c>
      <c r="G14" s="7">
        <v>31.93</v>
      </c>
      <c r="H14" s="7">
        <v>27.37</v>
      </c>
      <c r="I14" s="7">
        <v>26.22</v>
      </c>
      <c r="J14" s="7">
        <v>27.27</v>
      </c>
      <c r="K14" s="7">
        <v>17.98</v>
      </c>
      <c r="L14" s="7">
        <v>20.11</v>
      </c>
      <c r="M14" s="7">
        <v>22.09</v>
      </c>
      <c r="N14" s="7">
        <v>24.17</v>
      </c>
      <c r="O14" s="9">
        <f>'ต.ค.68'!H15</f>
        <v>26.171532673404101</v>
      </c>
      <c r="P14" s="10" t="e">
        <f ca="1">VLOOKUP(A14,'พ.ย. 68'!$A$2:$N$26,10,1)</f>
        <v>#N/A</v>
      </c>
      <c r="Q14" s="10" t="e">
        <f ca="1">VLOOKUP(A14,'ธ.ค. 68'!$A$2:$N$26,10,1)</f>
        <v>#N/A</v>
      </c>
      <c r="R14" s="4">
        <v>25.807357053213504</v>
      </c>
      <c r="S14" s="11"/>
      <c r="T14" s="11"/>
      <c r="U14" s="11"/>
      <c r="V14" s="11"/>
      <c r="W14" s="11"/>
      <c r="X14" s="11"/>
      <c r="Y14" s="11"/>
      <c r="Z14" s="11"/>
      <c r="AA14" s="3"/>
    </row>
    <row r="15" spans="1:27" ht="15.75" customHeight="1">
      <c r="A15" s="8">
        <v>13</v>
      </c>
      <c r="B15" s="7" t="s">
        <v>39</v>
      </c>
      <c r="C15" s="7">
        <v>54.72</v>
      </c>
      <c r="D15" s="7">
        <v>52.5</v>
      </c>
      <c r="E15" s="7">
        <v>48.14</v>
      </c>
      <c r="F15" s="7">
        <v>47.43</v>
      </c>
      <c r="G15" s="7">
        <v>42.45</v>
      </c>
      <c r="H15" s="7">
        <v>44.1</v>
      </c>
      <c r="I15" s="7">
        <v>44.45</v>
      </c>
      <c r="J15" s="7">
        <v>46.27</v>
      </c>
      <c r="K15" s="7">
        <v>42.25</v>
      </c>
      <c r="L15" s="7">
        <v>50.47</v>
      </c>
      <c r="M15" s="7">
        <v>46.35</v>
      </c>
      <c r="N15" s="7">
        <v>45.09</v>
      </c>
      <c r="O15" s="9">
        <f>'ต.ค.68'!H16</f>
        <v>50.2083995640795</v>
      </c>
      <c r="P15" s="10" t="e">
        <f ca="1">VLOOKUP(A15,'พ.ย. 68'!$A$2:$N$26,10,1)</f>
        <v>#N/A</v>
      </c>
      <c r="Q15" s="10" t="e">
        <f ca="1">VLOOKUP(A15,'ธ.ค. 68'!$A$2:$N$26,10,1)</f>
        <v>#N/A</v>
      </c>
      <c r="R15" s="4">
        <v>41.869154894301836</v>
      </c>
      <c r="S15" s="11"/>
      <c r="T15" s="11"/>
      <c r="U15" s="11"/>
      <c r="V15" s="11"/>
      <c r="W15" s="11"/>
      <c r="X15" s="11"/>
      <c r="Y15" s="11"/>
      <c r="Z15" s="11"/>
      <c r="AA15" s="3"/>
    </row>
    <row r="16" spans="1:27" ht="15.75" customHeight="1">
      <c r="A16" s="8">
        <v>14</v>
      </c>
      <c r="B16" s="7" t="s">
        <v>40</v>
      </c>
      <c r="C16" s="7">
        <v>31.21</v>
      </c>
      <c r="D16" s="7">
        <v>34.11</v>
      </c>
      <c r="E16" s="7">
        <v>31.73</v>
      </c>
      <c r="F16" s="7">
        <v>35.619999999999997</v>
      </c>
      <c r="G16" s="7">
        <v>32.700000000000003</v>
      </c>
      <c r="H16" s="7">
        <v>31.94</v>
      </c>
      <c r="I16" s="7">
        <v>29.21</v>
      </c>
      <c r="J16" s="7">
        <v>32.85</v>
      </c>
      <c r="K16" s="7">
        <v>27.63</v>
      </c>
      <c r="L16" s="7">
        <v>33.08</v>
      </c>
      <c r="M16" s="7">
        <v>34.770000000000003</v>
      </c>
      <c r="N16" s="7">
        <v>35.119999999999997</v>
      </c>
      <c r="O16" s="9">
        <f>'ต.ค.68'!H17</f>
        <v>33.413475273503622</v>
      </c>
      <c r="P16" s="10" t="e">
        <f ca="1">VLOOKUP(A16,'พ.ย. 68'!$A$2:$N$26,10,1)</f>
        <v>#N/A</v>
      </c>
      <c r="Q16" s="10" t="e">
        <f ca="1">VLOOKUP(A16,'ธ.ค. 68'!$A$2:$N$26,10,1)</f>
        <v>#N/A</v>
      </c>
      <c r="R16" s="4">
        <v>37.86050642586892</v>
      </c>
      <c r="S16" s="11"/>
      <c r="T16" s="11"/>
      <c r="U16" s="11"/>
      <c r="V16" s="11"/>
      <c r="W16" s="11"/>
      <c r="X16" s="11"/>
      <c r="Y16" s="11"/>
      <c r="Z16" s="11"/>
      <c r="AA16" s="3"/>
    </row>
    <row r="17" spans="1:27" ht="15.75" customHeight="1">
      <c r="A17" s="8">
        <v>15</v>
      </c>
      <c r="B17" s="7" t="s">
        <v>41</v>
      </c>
      <c r="C17" s="7">
        <v>50.5</v>
      </c>
      <c r="D17" s="7">
        <v>48.62</v>
      </c>
      <c r="E17" s="7">
        <v>46.29</v>
      </c>
      <c r="F17" s="7">
        <v>46.9</v>
      </c>
      <c r="G17" s="7">
        <v>48.63</v>
      </c>
      <c r="H17" s="7">
        <v>47.59</v>
      </c>
      <c r="I17" s="7">
        <v>44.7</v>
      </c>
      <c r="J17" s="7">
        <v>49.69</v>
      </c>
      <c r="K17" s="7">
        <v>42.53</v>
      </c>
      <c r="L17" s="7">
        <v>52.85</v>
      </c>
      <c r="M17" s="7">
        <v>53.09</v>
      </c>
      <c r="N17" s="7">
        <v>55.4</v>
      </c>
      <c r="O17" s="9">
        <f>'ต.ค.68'!H18</f>
        <v>57.449456089148313</v>
      </c>
      <c r="P17" s="10" t="e">
        <f ca="1">VLOOKUP(A17,'พ.ย. 68'!$A$2:$N$26,10,1)</f>
        <v>#N/A</v>
      </c>
      <c r="Q17" s="10" t="e">
        <f ca="1">VLOOKUP(A17,'ธ.ค. 68'!$A$2:$N$26,10,1)</f>
        <v>#N/A</v>
      </c>
      <c r="R17" s="4">
        <v>51.188378701260127</v>
      </c>
      <c r="S17" s="11"/>
      <c r="T17" s="11"/>
      <c r="U17" s="11"/>
      <c r="V17" s="11"/>
      <c r="W17" s="11"/>
      <c r="X17" s="11"/>
      <c r="Y17" s="11"/>
      <c r="Z17" s="11"/>
      <c r="AA17" s="3"/>
    </row>
    <row r="18" spans="1:27" ht="15.75" customHeight="1">
      <c r="A18" s="8">
        <v>16</v>
      </c>
      <c r="B18" s="7" t="s">
        <v>42</v>
      </c>
      <c r="C18" s="7">
        <v>65.12</v>
      </c>
      <c r="D18" s="7">
        <v>62.87</v>
      </c>
      <c r="E18" s="7">
        <v>62.45</v>
      </c>
      <c r="F18" s="7">
        <v>55.68</v>
      </c>
      <c r="G18" s="7">
        <v>58.17</v>
      </c>
      <c r="H18" s="7">
        <v>55.96</v>
      </c>
      <c r="I18" s="7">
        <v>53.01</v>
      </c>
      <c r="J18" s="7">
        <v>56.69</v>
      </c>
      <c r="K18" s="7">
        <v>55.31</v>
      </c>
      <c r="L18" s="7">
        <v>60.28</v>
      </c>
      <c r="M18" s="7">
        <v>59.32</v>
      </c>
      <c r="N18" s="7">
        <v>58</v>
      </c>
      <c r="O18" s="9">
        <f>'ต.ค.68'!H19</f>
        <v>61.583027731284922</v>
      </c>
      <c r="P18" s="10" t="e">
        <f ca="1">VLOOKUP(A18,'พ.ย. 68'!$A$2:$N$26,10,1)</f>
        <v>#N/A</v>
      </c>
      <c r="Q18" s="10" t="e">
        <f ca="1">VLOOKUP(A18,'ธ.ค. 68'!$A$2:$N$26,10,1)</f>
        <v>#N/A</v>
      </c>
      <c r="R18" s="4">
        <v>55.391441628325076</v>
      </c>
      <c r="S18" s="11"/>
      <c r="T18" s="11"/>
      <c r="U18" s="11"/>
      <c r="V18" s="11"/>
      <c r="W18" s="11"/>
      <c r="X18" s="11"/>
      <c r="Y18" s="11"/>
      <c r="Z18" s="11"/>
      <c r="AA18" s="3"/>
    </row>
    <row r="19" spans="1:27" ht="15.75" customHeight="1">
      <c r="A19" s="8">
        <v>17</v>
      </c>
      <c r="B19" s="7" t="s">
        <v>43</v>
      </c>
      <c r="C19" s="7">
        <v>49.77</v>
      </c>
      <c r="D19" s="7">
        <v>38.47</v>
      </c>
      <c r="E19" s="7">
        <v>38.86</v>
      </c>
      <c r="F19" s="7">
        <v>38.74</v>
      </c>
      <c r="G19" s="7">
        <v>39.93</v>
      </c>
      <c r="H19" s="7">
        <v>40.159999999999997</v>
      </c>
      <c r="I19" s="7">
        <v>40</v>
      </c>
      <c r="J19" s="7">
        <v>40.89</v>
      </c>
      <c r="K19" s="7">
        <v>40.409999999999997</v>
      </c>
      <c r="L19" s="7">
        <v>47.46</v>
      </c>
      <c r="M19" s="7">
        <v>46.56</v>
      </c>
      <c r="N19" s="7">
        <v>46.92</v>
      </c>
      <c r="O19" s="9">
        <f>'ต.ค.68'!H20</f>
        <v>58.623611618084162</v>
      </c>
      <c r="P19" s="10" t="e">
        <f ca="1">VLOOKUP(A19,'พ.ย. 68'!$A$2:$N$26,10,1)</f>
        <v>#N/A</v>
      </c>
      <c r="Q19" s="10" t="e">
        <f ca="1">VLOOKUP(A19,'ธ.ค. 68'!$A$2:$N$26,10,1)</f>
        <v>#N/A</v>
      </c>
      <c r="R19" s="4">
        <v>58.372986928785622</v>
      </c>
      <c r="S19" s="11"/>
      <c r="T19" s="11"/>
      <c r="U19" s="11"/>
      <c r="V19" s="11"/>
      <c r="W19" s="11"/>
      <c r="X19" s="11"/>
      <c r="Y19" s="11"/>
      <c r="Z19" s="11"/>
      <c r="AA19" s="3"/>
    </row>
    <row r="20" spans="1:27" ht="15.75" customHeight="1">
      <c r="A20" s="8">
        <v>18</v>
      </c>
      <c r="B20" s="7" t="s">
        <v>44</v>
      </c>
      <c r="C20" s="7">
        <v>32.76</v>
      </c>
      <c r="D20" s="7">
        <v>42.03</v>
      </c>
      <c r="E20" s="7">
        <v>42.06</v>
      </c>
      <c r="F20" s="7">
        <v>39.58</v>
      </c>
      <c r="G20" s="7">
        <v>34.770000000000003</v>
      </c>
      <c r="H20" s="7">
        <v>37.380000000000003</v>
      </c>
      <c r="I20" s="7">
        <v>33.75</v>
      </c>
      <c r="J20" s="7">
        <v>45.38</v>
      </c>
      <c r="K20" s="7">
        <v>33.549999999999997</v>
      </c>
      <c r="L20" s="7">
        <v>38.71</v>
      </c>
      <c r="M20" s="7">
        <v>35.380000000000003</v>
      </c>
      <c r="N20" s="7">
        <v>35.56</v>
      </c>
      <c r="O20" s="9">
        <f>'ต.ค.68'!H21</f>
        <v>42.801724247468378</v>
      </c>
      <c r="P20" s="10" t="e">
        <f ca="1">VLOOKUP(A20,'พ.ย. 68'!$A$2:$N$26,10,1)</f>
        <v>#N/A</v>
      </c>
      <c r="Q20" s="10" t="e">
        <f ca="1">VLOOKUP(A20,'ธ.ค. 68'!$A$2:$N$26,10,1)</f>
        <v>#N/A</v>
      </c>
      <c r="R20" s="4">
        <v>38.568014829916336</v>
      </c>
      <c r="S20" s="11"/>
      <c r="T20" s="11"/>
      <c r="U20" s="11"/>
      <c r="V20" s="11"/>
      <c r="W20" s="11"/>
      <c r="X20" s="11"/>
      <c r="Y20" s="11"/>
      <c r="Z20" s="11"/>
      <c r="AA20" s="3"/>
    </row>
    <row r="21" spans="1:27" ht="15.75" customHeight="1">
      <c r="A21" s="8">
        <v>19</v>
      </c>
      <c r="B21" s="7" t="s">
        <v>45</v>
      </c>
      <c r="C21" s="7">
        <v>23.66</v>
      </c>
      <c r="D21" s="7">
        <v>26.76</v>
      </c>
      <c r="E21" s="7">
        <v>14.22</v>
      </c>
      <c r="F21" s="7">
        <v>15.88</v>
      </c>
      <c r="G21" s="7">
        <v>13.57</v>
      </c>
      <c r="H21" s="7">
        <v>17.77</v>
      </c>
      <c r="I21" s="7">
        <v>19.3</v>
      </c>
      <c r="J21" s="7">
        <v>22.11</v>
      </c>
      <c r="K21" s="7">
        <v>24.03</v>
      </c>
      <c r="L21" s="7">
        <v>28.38</v>
      </c>
      <c r="M21" s="7">
        <v>25.04</v>
      </c>
      <c r="N21" s="7">
        <v>19.45</v>
      </c>
      <c r="O21" s="9">
        <f>'ต.ค.68'!H22</f>
        <v>24.665820780249092</v>
      </c>
      <c r="P21" s="10" t="e">
        <f ca="1">VLOOKUP(A21,'พ.ย. 68'!$A$2:$N$26,10,1)</f>
        <v>#N/A</v>
      </c>
      <c r="Q21" s="10" t="e">
        <f ca="1">VLOOKUP(A21,'ธ.ค. 68'!$A$2:$N$26,10,1)</f>
        <v>#N/A</v>
      </c>
      <c r="R21" s="4">
        <v>19.894639379330162</v>
      </c>
      <c r="S21" s="11"/>
      <c r="T21" s="11"/>
      <c r="U21" s="11"/>
      <c r="V21" s="11"/>
      <c r="W21" s="11"/>
      <c r="X21" s="11"/>
      <c r="Y21" s="11"/>
      <c r="Z21" s="11"/>
      <c r="AA21" s="3"/>
    </row>
    <row r="22" spans="1:27" ht="15.75" customHeight="1">
      <c r="A22" s="8">
        <v>20</v>
      </c>
      <c r="B22" s="7" t="s">
        <v>46</v>
      </c>
      <c r="C22" s="7">
        <v>23.87</v>
      </c>
      <c r="D22" s="7">
        <v>30.02</v>
      </c>
      <c r="E22" s="7">
        <v>34.43</v>
      </c>
      <c r="F22" s="7">
        <v>33.54</v>
      </c>
      <c r="G22" s="7">
        <v>28.18</v>
      </c>
      <c r="H22" s="7">
        <v>33.130000000000003</v>
      </c>
      <c r="I22" s="7">
        <v>33.99</v>
      </c>
      <c r="J22" s="7">
        <v>33.86</v>
      </c>
      <c r="K22" s="7">
        <v>35.19</v>
      </c>
      <c r="L22" s="7">
        <v>33.21</v>
      </c>
      <c r="M22" s="7">
        <v>32.07</v>
      </c>
      <c r="N22" s="7">
        <v>36.18</v>
      </c>
      <c r="O22" s="9">
        <f>'ต.ค.68'!H23</f>
        <v>39.52739210293344</v>
      </c>
      <c r="P22" s="10" t="e">
        <f ca="1">VLOOKUP(A22,'พ.ย. 68'!$A$2:$N$26,10,1)</f>
        <v>#N/A</v>
      </c>
      <c r="Q22" s="10" t="e">
        <f ca="1">VLOOKUP(A22,'ธ.ค. 68'!$A$2:$N$26,10,1)</f>
        <v>#N/A</v>
      </c>
      <c r="R22" s="4">
        <v>42.514351303027517</v>
      </c>
      <c r="S22" s="11"/>
      <c r="T22" s="11"/>
      <c r="U22" s="11"/>
      <c r="V22" s="11"/>
      <c r="W22" s="11"/>
      <c r="X22" s="11"/>
      <c r="Y22" s="11"/>
      <c r="Z22" s="11"/>
      <c r="AA22" s="3"/>
    </row>
    <row r="23" spans="1:27" ht="15.75" customHeight="1">
      <c r="A23" s="13">
        <v>21</v>
      </c>
      <c r="B23" s="7" t="s">
        <v>47</v>
      </c>
      <c r="C23" s="7">
        <v>48.12</v>
      </c>
      <c r="D23" s="7">
        <v>47.7</v>
      </c>
      <c r="E23" s="7">
        <v>45.34</v>
      </c>
      <c r="F23" s="7">
        <v>39.58</v>
      </c>
      <c r="G23" s="7">
        <v>45.95</v>
      </c>
      <c r="H23" s="7">
        <v>44.22</v>
      </c>
      <c r="I23" s="7">
        <v>45.59</v>
      </c>
      <c r="J23" s="7">
        <v>48.24</v>
      </c>
      <c r="K23" s="7">
        <v>47.25</v>
      </c>
      <c r="L23" s="7">
        <v>46.77</v>
      </c>
      <c r="M23" s="7">
        <v>48.58</v>
      </c>
      <c r="N23" s="7">
        <v>48.68</v>
      </c>
      <c r="O23" s="9">
        <f>'ต.ค.68'!H24</f>
        <v>52.863405101843206</v>
      </c>
      <c r="P23" s="10" t="e">
        <f ca="1">VLOOKUP(A23,'พ.ย. 68'!$A$2:$N$26,10,1)</f>
        <v>#N/A</v>
      </c>
      <c r="Q23" s="10" t="e">
        <f ca="1">VLOOKUP(A23,'ธ.ค. 68'!$A$2:$N$26,10,1)</f>
        <v>#N/A</v>
      </c>
      <c r="R23" s="4">
        <v>48.980718449385705</v>
      </c>
      <c r="S23" s="11"/>
      <c r="T23" s="11"/>
      <c r="U23" s="11"/>
      <c r="V23" s="11"/>
      <c r="W23" s="11"/>
      <c r="X23" s="11"/>
      <c r="Y23" s="11"/>
      <c r="Z23" s="11"/>
      <c r="AA23" s="3"/>
    </row>
    <row r="24" spans="1:27" ht="15.75" customHeight="1">
      <c r="A24" s="13">
        <v>22</v>
      </c>
      <c r="B24" s="7" t="s">
        <v>48</v>
      </c>
      <c r="C24" s="7">
        <v>35.79</v>
      </c>
      <c r="D24" s="7">
        <v>37.369999999999997</v>
      </c>
      <c r="E24" s="7">
        <v>36.74</v>
      </c>
      <c r="F24" s="7">
        <v>32.68</v>
      </c>
      <c r="G24" s="7">
        <v>40.85</v>
      </c>
      <c r="H24" s="7">
        <v>33.130000000000003</v>
      </c>
      <c r="I24" s="7">
        <v>31.63</v>
      </c>
      <c r="J24" s="7">
        <v>31.68</v>
      </c>
      <c r="K24" s="7">
        <v>29.51</v>
      </c>
      <c r="L24" s="7">
        <v>32.229999999999997</v>
      </c>
      <c r="M24" s="7">
        <v>30.41</v>
      </c>
      <c r="N24" s="7">
        <v>29.4</v>
      </c>
      <c r="O24" s="9">
        <f>'ต.ค.68'!H25</f>
        <v>34.613240610425812</v>
      </c>
      <c r="P24" s="10" t="e">
        <f ca="1">VLOOKUP(A24,'พ.ย. 68'!$A$2:$N$26,10,1)</f>
        <v>#N/A</v>
      </c>
      <c r="Q24" s="10" t="e">
        <f ca="1">VLOOKUP(A24,'ธ.ค. 68'!$A$2:$N$26,10,1)</f>
        <v>#N/A</v>
      </c>
      <c r="R24" s="4">
        <v>28.888167817805151</v>
      </c>
      <c r="S24" s="11"/>
      <c r="T24" s="11"/>
      <c r="U24" s="11"/>
      <c r="V24" s="11"/>
      <c r="W24" s="11"/>
      <c r="X24" s="11"/>
      <c r="Y24" s="11"/>
      <c r="Z24" s="11"/>
      <c r="AA24" s="3"/>
    </row>
    <row r="25" spans="1:27" ht="15.75" customHeight="1">
      <c r="A25" s="13">
        <v>23</v>
      </c>
      <c r="B25" s="7" t="s">
        <v>49</v>
      </c>
      <c r="C25" s="7">
        <v>27.8</v>
      </c>
      <c r="D25" s="7">
        <v>26.99</v>
      </c>
      <c r="E25" s="7">
        <v>26.26</v>
      </c>
      <c r="F25" s="7">
        <v>27.02</v>
      </c>
      <c r="G25" s="7">
        <v>27.75</v>
      </c>
      <c r="H25" s="7">
        <v>24.64</v>
      </c>
      <c r="I25" s="7">
        <v>25.94</v>
      </c>
      <c r="J25" s="7">
        <v>27.83</v>
      </c>
      <c r="K25" s="7">
        <v>26.93</v>
      </c>
      <c r="L25" s="7">
        <v>27.54</v>
      </c>
      <c r="M25" s="7">
        <v>25.97</v>
      </c>
      <c r="N25" s="7">
        <v>25.34</v>
      </c>
      <c r="O25" s="9">
        <f>'ต.ค.68'!H26</f>
        <v>29.707620696232205</v>
      </c>
      <c r="P25" s="10">
        <f ca="1">VLOOKUP(A25,'พ.ย. 68'!$A$2:$N$26,10,1)</f>
        <v>26.843395482904668</v>
      </c>
      <c r="Q25" s="10">
        <f ca="1">VLOOKUP(A25,'ธ.ค. 68'!$A$2:$N$26,10,1)</f>
        <v>28.655166314899766</v>
      </c>
      <c r="R25" s="14">
        <v>27.128638759402257</v>
      </c>
      <c r="S25" s="11"/>
      <c r="T25" s="11"/>
      <c r="U25" s="11"/>
      <c r="V25" s="11"/>
      <c r="W25" s="11"/>
      <c r="X25" s="11"/>
      <c r="Y25" s="11"/>
      <c r="Z25" s="11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3"/>
      <c r="M27" s="67"/>
      <c r="N27" s="68"/>
      <c r="O27" s="68"/>
      <c r="P27" s="68"/>
      <c r="Q27" s="68"/>
      <c r="R27" s="68"/>
      <c r="S27" s="68"/>
      <c r="T27" s="68"/>
      <c r="U27" s="68"/>
      <c r="V27" s="68"/>
      <c r="W27" s="3"/>
      <c r="X27" s="3"/>
      <c r="Y27" s="3"/>
      <c r="Z27" s="3"/>
      <c r="AA27" s="3"/>
    </row>
    <row r="28" spans="1:27" ht="15.75" customHeight="1">
      <c r="A28" s="3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3"/>
      <c r="X28" s="3"/>
      <c r="Y28" s="3"/>
      <c r="Z28" s="3"/>
      <c r="AA28" s="3"/>
    </row>
    <row r="29" spans="1:27" ht="15.75" customHeight="1">
      <c r="A29" s="3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3"/>
      <c r="X29" s="3"/>
      <c r="Y29" s="3"/>
      <c r="Z29" s="3"/>
      <c r="AA29" s="3"/>
    </row>
    <row r="30" spans="1:27" ht="15.75" customHeight="1">
      <c r="A30" s="3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3"/>
      <c r="X30" s="3"/>
      <c r="Y30" s="3"/>
      <c r="Z30" s="3"/>
      <c r="AA30" s="3"/>
    </row>
    <row r="31" spans="1:27" ht="15.75" customHeight="1">
      <c r="A31" s="3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3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3"/>
      <c r="X31" s="3"/>
      <c r="Y31" s="3"/>
      <c r="Z31" s="3"/>
      <c r="AA31" s="3"/>
    </row>
    <row r="32" spans="1:27" ht="15.75" customHeight="1">
      <c r="A32" s="3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3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3"/>
      <c r="X32" s="3"/>
      <c r="Y32" s="3"/>
      <c r="Z32" s="3"/>
      <c r="AA32" s="3"/>
    </row>
    <row r="33" spans="1:27" ht="15.75" customHeight="1">
      <c r="A33" s="3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3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"/>
      <c r="X33" s="3"/>
      <c r="Y33" s="3"/>
      <c r="Z33" s="3"/>
      <c r="AA33" s="3"/>
    </row>
    <row r="34" spans="1:27" ht="15.75" customHeight="1">
      <c r="A34" s="3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3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"/>
      <c r="X34" s="3"/>
      <c r="Y34" s="3"/>
      <c r="Z34" s="3"/>
      <c r="AA34" s="3"/>
    </row>
    <row r="35" spans="1:27" ht="15.75" customHeight="1">
      <c r="A35" s="3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3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3"/>
      <c r="X35" s="3"/>
      <c r="Y35" s="3"/>
      <c r="Z35" s="3"/>
      <c r="AA35" s="3"/>
    </row>
    <row r="36" spans="1:27" ht="15.75" customHeight="1">
      <c r="A36" s="3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3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3"/>
      <c r="X36" s="3"/>
      <c r="Y36" s="3"/>
      <c r="Z36" s="3"/>
      <c r="AA36" s="3"/>
    </row>
    <row r="37" spans="1:27" ht="15.75" customHeight="1">
      <c r="A37" s="3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3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3"/>
      <c r="X37" s="3"/>
      <c r="Y37" s="3"/>
      <c r="Z37" s="3"/>
      <c r="AA37" s="3"/>
    </row>
    <row r="38" spans="1:27" ht="15.75" customHeight="1">
      <c r="A38" s="3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3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"/>
      <c r="X38" s="3"/>
      <c r="Y38" s="3"/>
      <c r="Z38" s="3"/>
      <c r="AA38" s="3"/>
    </row>
    <row r="39" spans="1:27" ht="15.75" customHeight="1">
      <c r="A39" s="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3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"/>
      <c r="X39" s="3"/>
      <c r="Y39" s="3"/>
      <c r="Z39" s="3"/>
      <c r="AA39" s="3"/>
    </row>
    <row r="40" spans="1:27" ht="15.75" customHeight="1">
      <c r="A40" s="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3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"/>
      <c r="X40" s="3"/>
      <c r="Y40" s="3"/>
      <c r="Z40" s="3"/>
      <c r="AA40" s="3"/>
    </row>
    <row r="41" spans="1:27" ht="15.75" customHeight="1">
      <c r="A41" s="3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3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3"/>
      <c r="X41" s="3"/>
      <c r="Y41" s="3"/>
      <c r="Z41" s="3"/>
      <c r="AA41" s="3"/>
    </row>
    <row r="42" spans="1:27" ht="15.75" customHeight="1">
      <c r="A42" s="3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3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3"/>
      <c r="X42" s="3"/>
      <c r="Y42" s="3"/>
      <c r="Z42" s="3"/>
      <c r="AA42" s="3"/>
    </row>
    <row r="43" spans="1:27" ht="15.75" customHeight="1">
      <c r="A43" s="3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3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3"/>
      <c r="X43" s="3"/>
      <c r="Y43" s="3"/>
      <c r="Z43" s="3"/>
      <c r="AA43" s="3"/>
    </row>
    <row r="44" spans="1:27" ht="15.75" customHeight="1">
      <c r="A44" s="3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3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3"/>
      <c r="X44" s="3"/>
      <c r="Y44" s="3"/>
      <c r="Z44" s="3"/>
      <c r="AA44" s="3"/>
    </row>
    <row r="45" spans="1:27" ht="15.75" customHeight="1">
      <c r="A45" s="3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3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3"/>
      <c r="X45" s="3"/>
      <c r="Y45" s="3"/>
      <c r="Z45" s="3"/>
      <c r="AA45" s="3"/>
    </row>
    <row r="46" spans="1:27" ht="15.75" customHeight="1">
      <c r="A46" s="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3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67"/>
      <c r="C48" s="68"/>
      <c r="D48" s="68"/>
      <c r="E48" s="68"/>
      <c r="F48" s="68"/>
      <c r="G48" s="68"/>
      <c r="H48" s="68"/>
      <c r="I48" s="68"/>
      <c r="J48" s="68"/>
      <c r="K48" s="68"/>
      <c r="L48" s="3"/>
      <c r="M48" s="67"/>
      <c r="N48" s="68"/>
      <c r="O48" s="68"/>
      <c r="P48" s="68"/>
      <c r="Q48" s="68"/>
      <c r="R48" s="68"/>
      <c r="S48" s="68"/>
      <c r="T48" s="68"/>
      <c r="U48" s="68"/>
      <c r="V48" s="68"/>
      <c r="W48" s="3"/>
      <c r="X48" s="3"/>
      <c r="Y48" s="3"/>
      <c r="Z48" s="3"/>
      <c r="AA48" s="3"/>
    </row>
    <row r="49" spans="1:27" ht="15.75" customHeight="1">
      <c r="A49" s="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3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3"/>
      <c r="X49" s="3"/>
      <c r="Y49" s="3"/>
      <c r="Z49" s="3"/>
      <c r="AA49" s="3"/>
    </row>
    <row r="50" spans="1:27" ht="15.75" customHeight="1">
      <c r="A50" s="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3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3"/>
      <c r="X50" s="3"/>
      <c r="Y50" s="3"/>
      <c r="Z50" s="3"/>
      <c r="AA50" s="3"/>
    </row>
    <row r="51" spans="1:27" ht="15.75" customHeight="1">
      <c r="A51" s="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3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3"/>
      <c r="X51" s="3"/>
      <c r="Y51" s="3"/>
      <c r="Z51" s="3"/>
      <c r="AA51" s="3"/>
    </row>
    <row r="52" spans="1:27" ht="15.75" customHeight="1">
      <c r="A52" s="3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3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3"/>
      <c r="X52" s="3"/>
      <c r="Y52" s="3"/>
      <c r="Z52" s="3"/>
      <c r="AA52" s="3"/>
    </row>
    <row r="53" spans="1:27" ht="18">
      <c r="A53" s="3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3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3"/>
      <c r="X53" s="3"/>
      <c r="Y53" s="3"/>
      <c r="Z53" s="3"/>
      <c r="AA53" s="3"/>
    </row>
    <row r="54" spans="1:27" ht="18">
      <c r="A54" s="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3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3"/>
      <c r="X54" s="3"/>
      <c r="Y54" s="3"/>
      <c r="Z54" s="3"/>
      <c r="AA54" s="3"/>
    </row>
    <row r="55" spans="1:27" ht="18">
      <c r="A55" s="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3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3"/>
      <c r="X55" s="3"/>
      <c r="Y55" s="3"/>
      <c r="Z55" s="3"/>
      <c r="AA55" s="3"/>
    </row>
    <row r="56" spans="1:27" ht="18">
      <c r="A56" s="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3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3"/>
      <c r="X56" s="3"/>
      <c r="Y56" s="3"/>
      <c r="Z56" s="3"/>
      <c r="AA56" s="3"/>
    </row>
    <row r="57" spans="1:27" ht="18">
      <c r="A57" s="3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3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3"/>
      <c r="X57" s="3"/>
      <c r="Y57" s="3"/>
      <c r="Z57" s="3"/>
      <c r="AA57" s="3"/>
    </row>
    <row r="58" spans="1:27" ht="18">
      <c r="A58" s="3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3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3"/>
      <c r="X58" s="3"/>
      <c r="Y58" s="3"/>
      <c r="Z58" s="3"/>
      <c r="AA58" s="3"/>
    </row>
    <row r="59" spans="1:27" ht="18">
      <c r="A59" s="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3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3"/>
      <c r="X59" s="3"/>
      <c r="Y59" s="3"/>
      <c r="Z59" s="3"/>
      <c r="AA59" s="3"/>
    </row>
    <row r="60" spans="1:27" ht="18">
      <c r="A60" s="3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3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3"/>
      <c r="X60" s="3"/>
      <c r="Y60" s="3"/>
      <c r="Z60" s="3"/>
      <c r="AA60" s="3"/>
    </row>
    <row r="61" spans="1:27" ht="18">
      <c r="A61" s="3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3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3"/>
      <c r="X61" s="3"/>
      <c r="Y61" s="3"/>
      <c r="Z61" s="3"/>
      <c r="AA61" s="3"/>
    </row>
    <row r="62" spans="1:27" ht="18">
      <c r="A62" s="3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3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3"/>
      <c r="X62" s="3"/>
      <c r="Y62" s="3"/>
      <c r="Z62" s="3"/>
      <c r="AA62" s="3"/>
    </row>
    <row r="63" spans="1:27" ht="18">
      <c r="A63" s="3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3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3"/>
      <c r="X63" s="3"/>
      <c r="Y63" s="3"/>
      <c r="Z63" s="3"/>
      <c r="AA63" s="3"/>
    </row>
    <row r="64" spans="1:27" ht="18">
      <c r="A64" s="3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3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3"/>
      <c r="X64" s="3"/>
      <c r="Y64" s="3"/>
      <c r="Z64" s="3"/>
      <c r="AA64" s="3"/>
    </row>
    <row r="65" spans="1:27" ht="18">
      <c r="A65" s="3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3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3"/>
      <c r="X65" s="3"/>
      <c r="Y65" s="3"/>
      <c r="Z65" s="3"/>
      <c r="AA65" s="3"/>
    </row>
    <row r="66" spans="1:27" ht="18">
      <c r="A66" s="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3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3"/>
      <c r="X66" s="3"/>
      <c r="Y66" s="3"/>
      <c r="Z66" s="3"/>
      <c r="AA66" s="3"/>
    </row>
    <row r="67" spans="1:27" ht="18">
      <c r="A67" s="3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3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3"/>
      <c r="X67" s="3"/>
      <c r="Y67" s="3"/>
      <c r="Z67" s="3"/>
      <c r="AA67" s="3"/>
    </row>
    <row r="68" spans="1:27" ht="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8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8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8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8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8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8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8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8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8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8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8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8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8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8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8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8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8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8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8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8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8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8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8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8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8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8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8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8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8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8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8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8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8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8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8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8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8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8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8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8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8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8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8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8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8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8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8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8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8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8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8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8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8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8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8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8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8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8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8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8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8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8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8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8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8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8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8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8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8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8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8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8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8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8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8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8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8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8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8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8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8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8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8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8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8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8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8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8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8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8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8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8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8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8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8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8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8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8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8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8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8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8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8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8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8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8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8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8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8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8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8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8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8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8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8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8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8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8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8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8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8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8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8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8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8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8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8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8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8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8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8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8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8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8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8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8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8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8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8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8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8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8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8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8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8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8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8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8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6">
    <mergeCell ref="C1:N1"/>
    <mergeCell ref="O1:Z1"/>
    <mergeCell ref="B27:K46"/>
    <mergeCell ref="M27:V46"/>
    <mergeCell ref="B48:K67"/>
    <mergeCell ref="M48:V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1000"/>
  <sheetViews>
    <sheetView workbookViewId="0">
      <selection activeCell="I10" sqref="I10"/>
    </sheetView>
  </sheetViews>
  <sheetFormatPr defaultColWidth="11.25" defaultRowHeight="15.75" customHeight="1"/>
  <cols>
    <col min="1" max="2" width="15.75" customWidth="1"/>
    <col min="3" max="3" width="17.5" customWidth="1"/>
    <col min="4" max="14" width="13.875" customWidth="1"/>
    <col min="15" max="15" width="17.125" customWidth="1"/>
    <col min="16" max="17" width="13.875" customWidth="1"/>
    <col min="18" max="18" width="7.25" customWidth="1"/>
    <col min="19" max="19" width="7.5" customWidth="1"/>
    <col min="20" max="20" width="7.25" customWidth="1"/>
    <col min="21" max="21" width="7.75" customWidth="1"/>
    <col min="22" max="22" width="7.5" customWidth="1"/>
    <col min="23" max="23" width="7.25" customWidth="1"/>
    <col min="24" max="24" width="7.125" customWidth="1"/>
    <col min="25" max="25" width="7.25" customWidth="1"/>
    <col min="26" max="26" width="7.125" customWidth="1"/>
  </cols>
  <sheetData>
    <row r="1" spans="1:27" ht="15.75" customHeight="1">
      <c r="A1" s="15"/>
      <c r="B1" s="2" t="s">
        <v>0</v>
      </c>
      <c r="C1" s="63" t="s">
        <v>1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  <c r="O1" s="66" t="s">
        <v>2</v>
      </c>
      <c r="P1" s="64"/>
      <c r="Q1" s="64"/>
      <c r="R1" s="64"/>
      <c r="S1" s="64"/>
      <c r="T1" s="64"/>
      <c r="U1" s="64"/>
      <c r="V1" s="64"/>
      <c r="W1" s="64"/>
      <c r="X1" s="64"/>
      <c r="Y1" s="64"/>
      <c r="Z1" s="65"/>
      <c r="AA1" s="3"/>
    </row>
    <row r="2" spans="1:27" ht="15.75" customHeight="1">
      <c r="A2" s="16"/>
      <c r="B2" s="5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3"/>
    </row>
    <row r="3" spans="1:27" ht="15.75" customHeight="1">
      <c r="A3" s="17" t="e">
        <f t="array" aca="1" ref="A3:A25" ca="1">_xludf.SEQUENCE(23,1)</f>
        <v>#NAME?</v>
      </c>
      <c r="B3" s="7" t="s">
        <v>27</v>
      </c>
      <c r="C3" s="18">
        <v>1128527.5999999999</v>
      </c>
      <c r="D3" s="18">
        <v>1075535.73</v>
      </c>
      <c r="E3" s="19">
        <v>1345675</v>
      </c>
      <c r="F3" s="18">
        <v>1141685.4099999999</v>
      </c>
      <c r="G3" s="18">
        <v>949754.31</v>
      </c>
      <c r="H3" s="18">
        <v>993534.76000000013</v>
      </c>
      <c r="I3" s="18">
        <v>1096569.3799999999</v>
      </c>
      <c r="J3" s="18">
        <v>1194933.93</v>
      </c>
      <c r="K3" s="18">
        <v>1167115.6400000001</v>
      </c>
      <c r="L3" s="18">
        <v>1142309.6399999999</v>
      </c>
      <c r="M3" s="18">
        <v>1146478.44</v>
      </c>
      <c r="N3" s="18">
        <v>1038271.12</v>
      </c>
      <c r="O3" s="10">
        <v>1170803.1299999999</v>
      </c>
      <c r="P3" s="10">
        <v>1044467.77</v>
      </c>
      <c r="Q3" s="10">
        <v>1410217.82</v>
      </c>
      <c r="R3" s="10"/>
      <c r="S3" s="11"/>
      <c r="T3" s="11"/>
      <c r="U3" s="11"/>
      <c r="V3" s="11"/>
      <c r="W3" s="11"/>
      <c r="X3" s="11"/>
      <c r="Y3" s="11"/>
      <c r="Z3" s="11"/>
      <c r="AA3" s="3"/>
    </row>
    <row r="4" spans="1:27" ht="15.75" customHeight="1">
      <c r="A4" s="17" t="e">
        <f ca="1"/>
        <v>#NAME?</v>
      </c>
      <c r="B4" s="7" t="s">
        <v>28</v>
      </c>
      <c r="C4" s="18">
        <v>1303649.8399999999</v>
      </c>
      <c r="D4" s="18">
        <v>1435385.9000000004</v>
      </c>
      <c r="E4" s="19">
        <v>1872673</v>
      </c>
      <c r="F4" s="18">
        <v>1621370.0199999998</v>
      </c>
      <c r="G4" s="18">
        <v>1681544.2</v>
      </c>
      <c r="H4" s="18">
        <v>1343762.4300000002</v>
      </c>
      <c r="I4" s="18">
        <v>1504290.8599999996</v>
      </c>
      <c r="J4" s="18">
        <v>1504290.8599999996</v>
      </c>
      <c r="K4" s="18">
        <v>1833929.5500000007</v>
      </c>
      <c r="L4" s="18">
        <v>1486590.5100000005</v>
      </c>
      <c r="M4" s="18">
        <v>1140827.19</v>
      </c>
      <c r="N4" s="18">
        <v>1097132.8700000001</v>
      </c>
      <c r="O4" s="10">
        <v>1480715.33</v>
      </c>
      <c r="P4" s="10">
        <v>1253377.8399999999</v>
      </c>
      <c r="Q4" s="10">
        <v>1444461.6600000001</v>
      </c>
      <c r="R4" s="11"/>
      <c r="S4" s="11"/>
      <c r="T4" s="11"/>
      <c r="U4" s="11"/>
      <c r="V4" s="11"/>
      <c r="W4" s="11"/>
      <c r="X4" s="11"/>
      <c r="Y4" s="11"/>
      <c r="Z4" s="11"/>
      <c r="AA4" s="3"/>
    </row>
    <row r="5" spans="1:27" ht="15.75" customHeight="1">
      <c r="A5" s="17" t="e">
        <f ca="1"/>
        <v>#NAME?</v>
      </c>
      <c r="B5" s="7" t="s">
        <v>29</v>
      </c>
      <c r="C5" s="18">
        <v>522142.95000000007</v>
      </c>
      <c r="D5" s="18">
        <v>374984.68000000011</v>
      </c>
      <c r="E5" s="19">
        <v>510485</v>
      </c>
      <c r="F5" s="18">
        <v>459874.75999999989</v>
      </c>
      <c r="G5" s="18">
        <v>344239.13000000006</v>
      </c>
      <c r="H5" s="18">
        <v>409433.70999999996</v>
      </c>
      <c r="I5" s="18">
        <v>410905.60999999987</v>
      </c>
      <c r="J5" s="18">
        <v>497294.56</v>
      </c>
      <c r="K5" s="18">
        <v>476272.19</v>
      </c>
      <c r="L5" s="18">
        <v>431135.53</v>
      </c>
      <c r="M5" s="18">
        <v>467265.14</v>
      </c>
      <c r="N5" s="18">
        <v>489360.44</v>
      </c>
      <c r="O5" s="10">
        <v>548358.01</v>
      </c>
      <c r="P5" s="10">
        <v>691819.65</v>
      </c>
      <c r="Q5" s="10">
        <v>700451.9</v>
      </c>
      <c r="R5" s="11"/>
      <c r="S5" s="11"/>
      <c r="T5" s="11"/>
      <c r="U5" s="11"/>
      <c r="V5" s="11"/>
      <c r="W5" s="11"/>
      <c r="X5" s="11"/>
      <c r="Y5" s="11"/>
      <c r="Z5" s="11"/>
      <c r="AA5" s="3"/>
    </row>
    <row r="6" spans="1:27" ht="15.75" customHeight="1">
      <c r="A6" s="17" t="e">
        <f ca="1"/>
        <v>#NAME?</v>
      </c>
      <c r="B6" s="7" t="s">
        <v>30</v>
      </c>
      <c r="C6" s="18">
        <v>474616</v>
      </c>
      <c r="D6" s="18">
        <v>404212</v>
      </c>
      <c r="E6" s="19">
        <v>506684</v>
      </c>
      <c r="F6" s="18">
        <v>457677.5</v>
      </c>
      <c r="G6" s="18">
        <v>369985</v>
      </c>
      <c r="H6" s="18">
        <v>454310</v>
      </c>
      <c r="I6" s="18">
        <v>500026.82</v>
      </c>
      <c r="J6" s="18">
        <v>594124</v>
      </c>
      <c r="K6" s="18">
        <v>451782.32</v>
      </c>
      <c r="L6" s="18">
        <v>655130.32000000007</v>
      </c>
      <c r="M6" s="18">
        <v>594603.31999999995</v>
      </c>
      <c r="N6" s="18">
        <v>461042.32</v>
      </c>
      <c r="O6" s="10">
        <v>608955</v>
      </c>
      <c r="P6" s="10">
        <v>541855.31999999995</v>
      </c>
      <c r="Q6" s="10">
        <v>558366</v>
      </c>
      <c r="R6" s="11"/>
      <c r="S6" s="11"/>
      <c r="T6" s="11"/>
      <c r="U6" s="11"/>
      <c r="V6" s="11"/>
      <c r="W6" s="11"/>
      <c r="X6" s="11"/>
      <c r="Y6" s="11"/>
      <c r="Z6" s="11"/>
      <c r="AA6" s="3"/>
    </row>
    <row r="7" spans="1:27" ht="15.75" customHeight="1">
      <c r="A7" s="17" t="e">
        <f ca="1"/>
        <v>#NAME?</v>
      </c>
      <c r="B7" s="7" t="s">
        <v>31</v>
      </c>
      <c r="C7" s="18">
        <v>577085.81000000006</v>
      </c>
      <c r="D7" s="18">
        <v>610453.10000000009</v>
      </c>
      <c r="E7" s="19">
        <v>616656</v>
      </c>
      <c r="F7" s="18">
        <v>695410.56</v>
      </c>
      <c r="G7" s="18">
        <v>642818.35000000009</v>
      </c>
      <c r="H7" s="18">
        <v>750493.74000000022</v>
      </c>
      <c r="I7" s="18">
        <v>745895.81999999983</v>
      </c>
      <c r="J7" s="18">
        <v>819785.54999999981</v>
      </c>
      <c r="K7" s="18">
        <v>883999.08999999985</v>
      </c>
      <c r="L7" s="18">
        <v>929550.44</v>
      </c>
      <c r="M7" s="18">
        <v>965411</v>
      </c>
      <c r="N7" s="18">
        <v>754629.06999999983</v>
      </c>
      <c r="O7" s="10">
        <v>934349.02</v>
      </c>
      <c r="P7" s="10">
        <v>928099.95000000019</v>
      </c>
      <c r="Q7" s="10">
        <v>1057412.67</v>
      </c>
      <c r="R7" s="11"/>
      <c r="S7" s="11"/>
      <c r="T7" s="11"/>
      <c r="U7" s="11"/>
      <c r="V7" s="11"/>
      <c r="W7" s="11"/>
      <c r="X7" s="11"/>
      <c r="Y7" s="11"/>
      <c r="Z7" s="11"/>
      <c r="AA7" s="3"/>
    </row>
    <row r="8" spans="1:27" ht="15.75" customHeight="1">
      <c r="A8" s="17" t="e">
        <f ca="1"/>
        <v>#NAME?</v>
      </c>
      <c r="B8" s="7" t="s">
        <v>32</v>
      </c>
      <c r="C8" s="18">
        <v>449113.45</v>
      </c>
      <c r="D8" s="18">
        <v>399342.64</v>
      </c>
      <c r="E8" s="19">
        <v>359900</v>
      </c>
      <c r="F8" s="18">
        <v>433136.11</v>
      </c>
      <c r="G8" s="18">
        <v>537791.48</v>
      </c>
      <c r="H8" s="18">
        <v>697176.4</v>
      </c>
      <c r="I8" s="18">
        <v>738431</v>
      </c>
      <c r="J8" s="18">
        <v>744045</v>
      </c>
      <c r="K8" s="18">
        <v>684513</v>
      </c>
      <c r="L8" s="18">
        <v>681198</v>
      </c>
      <c r="M8" s="18">
        <v>614821</v>
      </c>
      <c r="N8" s="18">
        <v>626638</v>
      </c>
      <c r="O8" s="10">
        <v>805556</v>
      </c>
      <c r="P8" s="10">
        <v>641915</v>
      </c>
      <c r="Q8" s="10">
        <v>826355</v>
      </c>
      <c r="R8" s="11"/>
      <c r="S8" s="11"/>
      <c r="T8" s="11"/>
      <c r="U8" s="11"/>
      <c r="V8" s="11"/>
      <c r="W8" s="11"/>
      <c r="X8" s="11"/>
      <c r="Y8" s="11"/>
      <c r="Z8" s="11"/>
      <c r="AA8" s="3"/>
    </row>
    <row r="9" spans="1:27" ht="15.75" customHeight="1">
      <c r="A9" s="17" t="e">
        <f ca="1"/>
        <v>#NAME?</v>
      </c>
      <c r="B9" s="7" t="s">
        <v>33</v>
      </c>
      <c r="C9" s="18">
        <v>162606.62</v>
      </c>
      <c r="D9" s="18">
        <v>159914.26999999999</v>
      </c>
      <c r="E9" s="19">
        <v>98255</v>
      </c>
      <c r="F9" s="18">
        <v>128728.58</v>
      </c>
      <c r="G9" s="18">
        <v>144109.08000000002</v>
      </c>
      <c r="H9" s="18">
        <v>168345.05</v>
      </c>
      <c r="I9" s="18">
        <v>138917.04999999999</v>
      </c>
      <c r="J9" s="18">
        <v>180715.45</v>
      </c>
      <c r="K9" s="18">
        <v>147702</v>
      </c>
      <c r="L9" s="18">
        <v>107327.90999999992</v>
      </c>
      <c r="M9" s="18">
        <v>90989.31</v>
      </c>
      <c r="N9" s="18">
        <v>90963.19</v>
      </c>
      <c r="O9" s="10">
        <v>119450</v>
      </c>
      <c r="P9" s="10">
        <v>105183.55</v>
      </c>
      <c r="Q9" s="10">
        <v>70194</v>
      </c>
      <c r="R9" s="11"/>
      <c r="S9" s="11"/>
      <c r="T9" s="11"/>
      <c r="U9" s="11"/>
      <c r="V9" s="11"/>
      <c r="W9" s="11"/>
      <c r="X9" s="11"/>
      <c r="Y9" s="11"/>
      <c r="Z9" s="11"/>
      <c r="AA9" s="3"/>
    </row>
    <row r="10" spans="1:27" ht="15.75" customHeight="1">
      <c r="A10" s="17" t="e">
        <f ca="1"/>
        <v>#NAME?</v>
      </c>
      <c r="B10" s="7" t="s">
        <v>34</v>
      </c>
      <c r="C10" s="18">
        <v>153128.58000000002</v>
      </c>
      <c r="D10" s="18">
        <v>127881.54000000001</v>
      </c>
      <c r="E10" s="19">
        <v>125869</v>
      </c>
      <c r="F10" s="18">
        <v>148677.57</v>
      </c>
      <c r="G10" s="18">
        <v>112692.35</v>
      </c>
      <c r="H10" s="18">
        <v>114469.76999999999</v>
      </c>
      <c r="I10" s="18">
        <v>92844.43</v>
      </c>
      <c r="J10" s="18">
        <v>105662.45999999996</v>
      </c>
      <c r="K10" s="18">
        <v>130169.83999999994</v>
      </c>
      <c r="L10" s="18">
        <v>118289.3899999999</v>
      </c>
      <c r="M10" s="18">
        <v>16115</v>
      </c>
      <c r="N10" s="18">
        <v>96053.209999999992</v>
      </c>
      <c r="O10" s="10">
        <v>181989.98</v>
      </c>
      <c r="P10" s="10">
        <v>126452.7</v>
      </c>
      <c r="Q10" s="10">
        <v>175726.15</v>
      </c>
      <c r="R10" s="11"/>
      <c r="S10" s="11"/>
      <c r="T10" s="11"/>
      <c r="U10" s="11"/>
      <c r="V10" s="11"/>
      <c r="W10" s="11"/>
      <c r="X10" s="11"/>
      <c r="Y10" s="11"/>
      <c r="Z10" s="11"/>
      <c r="AA10" s="3"/>
    </row>
    <row r="11" spans="1:27" ht="15.75" customHeight="1">
      <c r="A11" s="17" t="e">
        <f ca="1"/>
        <v>#NAME?</v>
      </c>
      <c r="B11" s="7" t="s">
        <v>35</v>
      </c>
      <c r="C11" s="18">
        <v>709807.5</v>
      </c>
      <c r="D11" s="18">
        <v>697094</v>
      </c>
      <c r="E11" s="19">
        <v>496793</v>
      </c>
      <c r="F11" s="18">
        <v>642665.60000000009</v>
      </c>
      <c r="G11" s="18">
        <v>604759.06999999983</v>
      </c>
      <c r="H11" s="18">
        <v>726133.10000000009</v>
      </c>
      <c r="I11" s="18">
        <v>674470</v>
      </c>
      <c r="J11" s="18">
        <v>841657.10000000009</v>
      </c>
      <c r="K11" s="18">
        <v>857939</v>
      </c>
      <c r="L11" s="18">
        <v>848547.62000000011</v>
      </c>
      <c r="M11" s="18">
        <v>737055</v>
      </c>
      <c r="N11" s="18">
        <v>587863</v>
      </c>
      <c r="O11" s="10">
        <v>916973</v>
      </c>
      <c r="P11" s="10">
        <v>832268</v>
      </c>
      <c r="Q11" s="10">
        <v>870933</v>
      </c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1:27" ht="15.75" customHeight="1">
      <c r="A12" s="17" t="e">
        <f ca="1"/>
        <v>#NAME?</v>
      </c>
      <c r="B12" s="7" t="s">
        <v>36</v>
      </c>
      <c r="C12" s="18">
        <v>259427</v>
      </c>
      <c r="D12" s="18">
        <v>250044</v>
      </c>
      <c r="E12" s="19">
        <v>240026</v>
      </c>
      <c r="F12" s="18">
        <v>349919</v>
      </c>
      <c r="G12" s="18">
        <v>293103</v>
      </c>
      <c r="H12" s="18">
        <v>227465</v>
      </c>
      <c r="I12" s="18">
        <v>318136</v>
      </c>
      <c r="J12" s="18">
        <v>291634.7</v>
      </c>
      <c r="K12" s="18">
        <v>280076</v>
      </c>
      <c r="L12" s="18">
        <v>285092.88</v>
      </c>
      <c r="M12" s="18">
        <v>263250</v>
      </c>
      <c r="N12" s="18">
        <v>220043</v>
      </c>
      <c r="O12" s="10">
        <v>237229</v>
      </c>
      <c r="P12" s="10">
        <v>186123</v>
      </c>
      <c r="Q12" s="10">
        <v>263476.8</v>
      </c>
      <c r="R12" s="11"/>
      <c r="S12" s="11"/>
      <c r="T12" s="11"/>
      <c r="U12" s="11"/>
      <c r="V12" s="11"/>
      <c r="W12" s="11"/>
      <c r="X12" s="11"/>
      <c r="Y12" s="11"/>
      <c r="Z12" s="11"/>
      <c r="AA12" s="3"/>
    </row>
    <row r="13" spans="1:27" ht="15.75" customHeight="1">
      <c r="A13" s="17" t="e">
        <f ca="1"/>
        <v>#NAME?</v>
      </c>
      <c r="B13" s="7" t="s">
        <v>37</v>
      </c>
      <c r="C13" s="18">
        <v>317548</v>
      </c>
      <c r="D13" s="18">
        <v>247352</v>
      </c>
      <c r="E13" s="19">
        <v>293689</v>
      </c>
      <c r="F13" s="18">
        <v>324981</v>
      </c>
      <c r="G13" s="18">
        <v>266683</v>
      </c>
      <c r="H13" s="18">
        <v>212237.12999999989</v>
      </c>
      <c r="I13" s="18">
        <v>321623.8899999999</v>
      </c>
      <c r="J13" s="18">
        <v>351527.8899999999</v>
      </c>
      <c r="K13" s="18">
        <v>266430</v>
      </c>
      <c r="L13" s="18">
        <v>341443</v>
      </c>
      <c r="M13" s="18">
        <v>272890</v>
      </c>
      <c r="N13" s="18">
        <v>216500</v>
      </c>
      <c r="O13" s="10">
        <v>318571</v>
      </c>
      <c r="P13" s="10">
        <v>169159</v>
      </c>
      <c r="Q13" s="10">
        <v>277631</v>
      </c>
      <c r="R13" s="11"/>
      <c r="S13" s="11"/>
      <c r="T13" s="11"/>
      <c r="U13" s="11"/>
      <c r="V13" s="11"/>
      <c r="W13" s="11"/>
      <c r="X13" s="11"/>
      <c r="Y13" s="11"/>
      <c r="Z13" s="11"/>
      <c r="AA13" s="3"/>
    </row>
    <row r="14" spans="1:27" ht="15.75" customHeight="1">
      <c r="A14" s="17" t="e">
        <f ca="1"/>
        <v>#NAME?</v>
      </c>
      <c r="B14" s="7" t="s">
        <v>38</v>
      </c>
      <c r="C14" s="18">
        <v>1300495</v>
      </c>
      <c r="D14" s="18">
        <v>1077260</v>
      </c>
      <c r="E14" s="19">
        <v>1158203</v>
      </c>
      <c r="F14" s="18">
        <v>1118493</v>
      </c>
      <c r="G14" s="18">
        <v>1051189</v>
      </c>
      <c r="H14" s="18">
        <v>1014161</v>
      </c>
      <c r="I14" s="18">
        <v>1017563</v>
      </c>
      <c r="J14" s="18">
        <v>949211</v>
      </c>
      <c r="K14" s="18">
        <v>547289</v>
      </c>
      <c r="L14" s="18">
        <v>614758</v>
      </c>
      <c r="M14" s="18">
        <v>725898</v>
      </c>
      <c r="N14" s="18">
        <v>804649</v>
      </c>
      <c r="O14" s="10">
        <v>848736</v>
      </c>
      <c r="P14" s="10">
        <v>926068</v>
      </c>
      <c r="Q14" s="10">
        <v>976800</v>
      </c>
      <c r="R14" s="11"/>
      <c r="S14" s="11"/>
      <c r="T14" s="11"/>
      <c r="U14" s="11"/>
      <c r="V14" s="11"/>
      <c r="W14" s="11"/>
      <c r="X14" s="11"/>
      <c r="Y14" s="11"/>
      <c r="Z14" s="11"/>
      <c r="AA14" s="3"/>
    </row>
    <row r="15" spans="1:27" ht="15.75" customHeight="1">
      <c r="A15" s="17" t="e">
        <f ca="1"/>
        <v>#NAME?</v>
      </c>
      <c r="B15" s="7" t="s">
        <v>39</v>
      </c>
      <c r="C15" s="18">
        <v>528712</v>
      </c>
      <c r="D15" s="18">
        <v>483880</v>
      </c>
      <c r="E15" s="19">
        <v>312262</v>
      </c>
      <c r="F15" s="18">
        <v>461231</v>
      </c>
      <c r="G15" s="18">
        <v>330247</v>
      </c>
      <c r="H15" s="18">
        <v>408368</v>
      </c>
      <c r="I15" s="18">
        <v>427440</v>
      </c>
      <c r="J15" s="18">
        <v>434177</v>
      </c>
      <c r="K15" s="18">
        <v>345743</v>
      </c>
      <c r="L15" s="18">
        <v>451301</v>
      </c>
      <c r="M15" s="18">
        <v>403563</v>
      </c>
      <c r="N15" s="18">
        <v>371776</v>
      </c>
      <c r="O15" s="10">
        <v>428001</v>
      </c>
      <c r="P15" s="10">
        <v>362584</v>
      </c>
      <c r="Q15" s="10">
        <v>320161</v>
      </c>
      <c r="R15" s="11"/>
      <c r="S15" s="11"/>
      <c r="T15" s="11"/>
      <c r="U15" s="11"/>
      <c r="V15" s="11"/>
      <c r="W15" s="11"/>
      <c r="X15" s="11"/>
      <c r="Y15" s="11"/>
      <c r="Z15" s="11"/>
      <c r="AA15" s="3"/>
    </row>
    <row r="16" spans="1:27" ht="15.75" customHeight="1">
      <c r="A16" s="17" t="e">
        <f ca="1"/>
        <v>#NAME?</v>
      </c>
      <c r="B16" s="7" t="s">
        <v>40</v>
      </c>
      <c r="C16" s="18">
        <v>622221</v>
      </c>
      <c r="D16" s="18">
        <v>594185</v>
      </c>
      <c r="E16" s="19">
        <v>477340</v>
      </c>
      <c r="F16" s="18">
        <v>636774</v>
      </c>
      <c r="G16" s="18">
        <v>520224</v>
      </c>
      <c r="H16" s="18">
        <v>644974</v>
      </c>
      <c r="I16" s="18">
        <v>670545</v>
      </c>
      <c r="J16" s="18">
        <v>632562</v>
      </c>
      <c r="K16" s="18">
        <v>643180</v>
      </c>
      <c r="L16" s="18">
        <v>660718</v>
      </c>
      <c r="M16" s="18">
        <v>705214</v>
      </c>
      <c r="N16" s="18">
        <v>686127</v>
      </c>
      <c r="O16" s="10">
        <v>675775</v>
      </c>
      <c r="P16" s="10">
        <v>615499</v>
      </c>
      <c r="Q16" s="10">
        <v>657516.1100000001</v>
      </c>
      <c r="R16" s="11"/>
      <c r="S16" s="11"/>
      <c r="T16" s="11"/>
      <c r="U16" s="11"/>
      <c r="V16" s="11"/>
      <c r="W16" s="11"/>
      <c r="X16" s="11"/>
      <c r="Y16" s="11"/>
      <c r="Z16" s="11"/>
      <c r="AA16" s="3"/>
    </row>
    <row r="17" spans="1:27" ht="15.75" customHeight="1">
      <c r="A17" s="17" t="e">
        <f ca="1"/>
        <v>#NAME?</v>
      </c>
      <c r="B17" s="7" t="s">
        <v>41</v>
      </c>
      <c r="C17" s="18">
        <v>258380.28</v>
      </c>
      <c r="D17" s="18">
        <v>241915.32</v>
      </c>
      <c r="E17" s="19">
        <v>254895</v>
      </c>
      <c r="F17" s="18">
        <v>246063</v>
      </c>
      <c r="G17" s="18">
        <v>243867.64</v>
      </c>
      <c r="H17" s="18">
        <v>266254.98</v>
      </c>
      <c r="I17" s="18">
        <v>248626.02</v>
      </c>
      <c r="J17" s="18">
        <v>294089.28000000003</v>
      </c>
      <c r="K17" s="18">
        <v>215916.11</v>
      </c>
      <c r="L17" s="18">
        <v>298496.14</v>
      </c>
      <c r="M17" s="18">
        <v>303232.82</v>
      </c>
      <c r="N17" s="18">
        <v>309966.59000000003</v>
      </c>
      <c r="O17" s="10">
        <v>331286.31</v>
      </c>
      <c r="P17" s="10">
        <v>281207.83</v>
      </c>
      <c r="Q17" s="10">
        <v>318988.65999999997</v>
      </c>
      <c r="R17" s="11"/>
      <c r="S17" s="11"/>
      <c r="T17" s="11"/>
      <c r="U17" s="11"/>
      <c r="V17" s="11"/>
      <c r="W17" s="11"/>
      <c r="X17" s="11"/>
      <c r="Y17" s="11"/>
      <c r="Z17" s="11"/>
      <c r="AA17" s="3"/>
    </row>
    <row r="18" spans="1:27" ht="15.75" customHeight="1">
      <c r="A18" s="17" t="e">
        <f ca="1"/>
        <v>#NAME?</v>
      </c>
      <c r="B18" s="7" t="s">
        <v>42</v>
      </c>
      <c r="C18" s="18">
        <v>1022061</v>
      </c>
      <c r="D18" s="18">
        <v>987846</v>
      </c>
      <c r="E18" s="19">
        <v>955097</v>
      </c>
      <c r="F18" s="18">
        <v>797836</v>
      </c>
      <c r="G18" s="18">
        <v>727134.53</v>
      </c>
      <c r="H18" s="18">
        <v>730950.64999999991</v>
      </c>
      <c r="I18" s="18">
        <v>667021.91999999993</v>
      </c>
      <c r="J18" s="18">
        <v>723514</v>
      </c>
      <c r="K18" s="18">
        <v>681957</v>
      </c>
      <c r="L18" s="18">
        <v>772888</v>
      </c>
      <c r="M18" s="18">
        <v>760587</v>
      </c>
      <c r="N18" s="18">
        <v>702618</v>
      </c>
      <c r="O18" s="10">
        <v>787751</v>
      </c>
      <c r="P18" s="10">
        <v>684575</v>
      </c>
      <c r="Q18" s="10">
        <v>807659.47</v>
      </c>
      <c r="R18" s="11"/>
      <c r="S18" s="11"/>
      <c r="T18" s="11"/>
      <c r="U18" s="11"/>
      <c r="V18" s="11"/>
      <c r="W18" s="11"/>
      <c r="X18" s="11"/>
      <c r="Y18" s="11"/>
      <c r="Z18" s="11"/>
      <c r="AA18" s="3"/>
    </row>
    <row r="19" spans="1:27" ht="15.75" customHeight="1">
      <c r="A19" s="17" t="e">
        <f ca="1"/>
        <v>#NAME?</v>
      </c>
      <c r="B19" s="7" t="s">
        <v>43</v>
      </c>
      <c r="C19" s="18">
        <v>78208</v>
      </c>
      <c r="D19" s="18">
        <v>53580</v>
      </c>
      <c r="E19" s="19">
        <v>52887</v>
      </c>
      <c r="F19" s="18">
        <v>58400</v>
      </c>
      <c r="G19" s="18">
        <v>53463</v>
      </c>
      <c r="H19" s="18">
        <v>59310</v>
      </c>
      <c r="I19" s="18">
        <v>58137</v>
      </c>
      <c r="J19" s="18">
        <v>61652</v>
      </c>
      <c r="K19" s="18">
        <v>57421</v>
      </c>
      <c r="L19" s="18">
        <v>66076</v>
      </c>
      <c r="M19" s="18">
        <v>64815</v>
      </c>
      <c r="N19" s="18">
        <v>64673</v>
      </c>
      <c r="O19" s="10">
        <v>89938</v>
      </c>
      <c r="P19" s="10">
        <v>40371</v>
      </c>
      <c r="Q19" s="10">
        <v>85968.16</v>
      </c>
      <c r="R19" s="11"/>
      <c r="S19" s="11"/>
      <c r="T19" s="11"/>
      <c r="U19" s="11"/>
      <c r="V19" s="11"/>
      <c r="W19" s="11"/>
      <c r="X19" s="11"/>
      <c r="Y19" s="11"/>
      <c r="Z19" s="11"/>
      <c r="AA19" s="3"/>
    </row>
    <row r="20" spans="1:27" ht="15.75" customHeight="1">
      <c r="A20" s="17" t="e">
        <f ca="1"/>
        <v>#NAME?</v>
      </c>
      <c r="B20" s="7" t="s">
        <v>44</v>
      </c>
      <c r="C20" s="18">
        <v>158144.69</v>
      </c>
      <c r="D20" s="18">
        <v>235200.02000000002</v>
      </c>
      <c r="E20" s="19">
        <v>235319</v>
      </c>
      <c r="F20" s="18">
        <v>221156</v>
      </c>
      <c r="G20" s="18">
        <v>170750.31</v>
      </c>
      <c r="H20" s="18">
        <v>204060.15000000002</v>
      </c>
      <c r="I20" s="18">
        <v>185069.57</v>
      </c>
      <c r="J20" s="18">
        <v>274872.54000000004</v>
      </c>
      <c r="K20" s="18">
        <v>166656.66999999998</v>
      </c>
      <c r="L20" s="18">
        <v>200180.77000000002</v>
      </c>
      <c r="M20" s="18">
        <v>188789.24</v>
      </c>
      <c r="N20" s="18">
        <v>188276.30000000005</v>
      </c>
      <c r="O20" s="10">
        <v>250955.87</v>
      </c>
      <c r="P20" s="10">
        <v>209984.30000000005</v>
      </c>
      <c r="Q20" s="10">
        <v>264596.40000000002</v>
      </c>
      <c r="R20" s="11"/>
      <c r="S20" s="11"/>
      <c r="T20" s="11"/>
      <c r="U20" s="11"/>
      <c r="V20" s="11"/>
      <c r="W20" s="11"/>
      <c r="X20" s="11"/>
      <c r="Y20" s="11"/>
      <c r="Z20" s="11"/>
      <c r="AA20" s="3"/>
    </row>
    <row r="21" spans="1:27" ht="15.75" customHeight="1">
      <c r="A21" s="17" t="e">
        <f ca="1"/>
        <v>#NAME?</v>
      </c>
      <c r="B21" s="7" t="s">
        <v>45</v>
      </c>
      <c r="C21" s="18">
        <v>35530</v>
      </c>
      <c r="D21" s="18">
        <v>41262</v>
      </c>
      <c r="E21" s="19">
        <v>16109</v>
      </c>
      <c r="F21" s="18">
        <v>24063</v>
      </c>
      <c r="G21" s="18">
        <v>19341</v>
      </c>
      <c r="H21" s="18">
        <v>26758</v>
      </c>
      <c r="I21" s="18">
        <v>27957.54</v>
      </c>
      <c r="J21" s="18">
        <v>34399.96</v>
      </c>
      <c r="K21" s="18">
        <v>37001.17</v>
      </c>
      <c r="L21" s="18">
        <v>46645</v>
      </c>
      <c r="M21" s="18">
        <v>39218.49</v>
      </c>
      <c r="N21" s="18">
        <v>28706.11</v>
      </c>
      <c r="O21" s="10">
        <v>38004.85</v>
      </c>
      <c r="P21" s="10">
        <v>28066.53</v>
      </c>
      <c r="Q21" s="10">
        <v>36133.39</v>
      </c>
      <c r="R21" s="11"/>
      <c r="S21" s="11"/>
      <c r="T21" s="11"/>
      <c r="U21" s="11"/>
      <c r="V21" s="11"/>
      <c r="W21" s="11"/>
      <c r="X21" s="11"/>
      <c r="Y21" s="11"/>
      <c r="Z21" s="11"/>
      <c r="AA21" s="3"/>
    </row>
    <row r="22" spans="1:27" ht="15.75" customHeight="1">
      <c r="A22" s="17" t="e">
        <f ca="1"/>
        <v>#NAME?</v>
      </c>
      <c r="B22" s="7" t="s">
        <v>46</v>
      </c>
      <c r="C22" s="18">
        <v>129575</v>
      </c>
      <c r="D22" s="18">
        <v>177169</v>
      </c>
      <c r="E22" s="19">
        <v>196307</v>
      </c>
      <c r="F22" s="18">
        <v>217039</v>
      </c>
      <c r="G22" s="18">
        <v>159275</v>
      </c>
      <c r="H22" s="18">
        <v>221473</v>
      </c>
      <c r="I22" s="18">
        <v>216384</v>
      </c>
      <c r="J22" s="18">
        <v>231011</v>
      </c>
      <c r="K22" s="18">
        <v>218001</v>
      </c>
      <c r="L22" s="18">
        <v>188582</v>
      </c>
      <c r="M22" s="18">
        <v>181415</v>
      </c>
      <c r="N22" s="18">
        <v>210588</v>
      </c>
      <c r="O22" s="10">
        <v>250927</v>
      </c>
      <c r="P22" s="10">
        <v>237047</v>
      </c>
      <c r="Q22" s="10">
        <v>220483</v>
      </c>
      <c r="R22" s="11"/>
      <c r="S22" s="11"/>
      <c r="T22" s="11"/>
      <c r="U22" s="11"/>
      <c r="V22" s="11"/>
      <c r="W22" s="11"/>
      <c r="X22" s="11"/>
      <c r="Y22" s="11"/>
      <c r="Z22" s="11"/>
      <c r="AA22" s="3"/>
    </row>
    <row r="23" spans="1:27" ht="15.75" customHeight="1">
      <c r="A23" s="17" t="e">
        <f ca="1"/>
        <v>#NAME?</v>
      </c>
      <c r="B23" s="7" t="s">
        <v>47</v>
      </c>
      <c r="C23" s="18">
        <v>773367.69</v>
      </c>
      <c r="D23" s="18">
        <v>743097</v>
      </c>
      <c r="E23" s="19">
        <v>319120</v>
      </c>
      <c r="F23" s="18">
        <v>572079</v>
      </c>
      <c r="G23" s="18">
        <v>700730</v>
      </c>
      <c r="H23" s="18">
        <v>726001</v>
      </c>
      <c r="I23" s="18">
        <v>792743</v>
      </c>
      <c r="J23" s="18">
        <v>784294</v>
      </c>
      <c r="K23" s="18">
        <v>760013</v>
      </c>
      <c r="L23" s="18">
        <v>714164</v>
      </c>
      <c r="M23" s="18">
        <v>789386</v>
      </c>
      <c r="N23" s="18">
        <v>776292</v>
      </c>
      <c r="O23" s="10">
        <v>870812</v>
      </c>
      <c r="P23" s="10">
        <v>797821</v>
      </c>
      <c r="Q23" s="10">
        <v>744241</v>
      </c>
      <c r="R23" s="11"/>
      <c r="S23" s="11"/>
      <c r="T23" s="11"/>
      <c r="U23" s="11"/>
      <c r="V23" s="11"/>
      <c r="W23" s="11"/>
      <c r="X23" s="11"/>
      <c r="Y23" s="11"/>
      <c r="Z23" s="11"/>
      <c r="AA23" s="3"/>
    </row>
    <row r="24" spans="1:27" ht="15.75" customHeight="1">
      <c r="A24" s="17" t="e">
        <f ca="1"/>
        <v>#NAME?</v>
      </c>
      <c r="B24" s="7" t="s">
        <v>48</v>
      </c>
      <c r="C24" s="18">
        <v>224574</v>
      </c>
      <c r="D24" s="18">
        <v>183220</v>
      </c>
      <c r="E24" s="19">
        <v>176212</v>
      </c>
      <c r="F24" s="18">
        <v>158749</v>
      </c>
      <c r="G24" s="18">
        <v>110198</v>
      </c>
      <c r="H24" s="18">
        <v>176836</v>
      </c>
      <c r="I24" s="18">
        <v>173034</v>
      </c>
      <c r="J24" s="18">
        <v>173427</v>
      </c>
      <c r="K24" s="18">
        <v>147858</v>
      </c>
      <c r="L24" s="18">
        <v>172810</v>
      </c>
      <c r="M24" s="18">
        <v>165792</v>
      </c>
      <c r="N24" s="18">
        <v>156321</v>
      </c>
      <c r="O24" s="10">
        <v>188142</v>
      </c>
      <c r="P24" s="10">
        <v>169272</v>
      </c>
      <c r="Q24" s="10">
        <v>185920</v>
      </c>
      <c r="R24" s="11"/>
      <c r="S24" s="11"/>
      <c r="T24" s="11"/>
      <c r="U24" s="11"/>
      <c r="V24" s="11"/>
      <c r="W24" s="11"/>
      <c r="X24" s="11"/>
      <c r="Y24" s="11"/>
      <c r="Z24" s="11"/>
      <c r="AA24" s="3"/>
    </row>
    <row r="25" spans="1:27" ht="15.75" customHeight="1">
      <c r="A25" s="17" t="e">
        <f ca="1"/>
        <v>#NAME?</v>
      </c>
      <c r="B25" s="7" t="s">
        <v>49</v>
      </c>
      <c r="C25" s="18">
        <f t="shared" ref="C25:T25" si="0">SUM(C3:C24)</f>
        <v>11188922.009999998</v>
      </c>
      <c r="D25" s="18">
        <f t="shared" si="0"/>
        <v>10600814.199999999</v>
      </c>
      <c r="E25" s="19">
        <f t="shared" si="0"/>
        <v>10620456</v>
      </c>
      <c r="F25" s="18">
        <f t="shared" si="0"/>
        <v>10916009.110000001</v>
      </c>
      <c r="G25" s="18">
        <f t="shared" si="0"/>
        <v>10033898.449999999</v>
      </c>
      <c r="H25" s="18">
        <f t="shared" si="0"/>
        <v>10576507.870000001</v>
      </c>
      <c r="I25" s="18">
        <f t="shared" si="0"/>
        <v>11026631.909999996</v>
      </c>
      <c r="J25" s="18">
        <f t="shared" si="0"/>
        <v>11718881.280000001</v>
      </c>
      <c r="K25" s="18">
        <f t="shared" si="0"/>
        <v>11000964.58</v>
      </c>
      <c r="L25" s="18">
        <f t="shared" si="0"/>
        <v>11213234.150000002</v>
      </c>
      <c r="M25" s="18">
        <f t="shared" si="0"/>
        <v>10637615.949999999</v>
      </c>
      <c r="N25" s="18">
        <f t="shared" si="0"/>
        <v>9978489.2200000007</v>
      </c>
      <c r="O25" s="18">
        <f t="shared" si="0"/>
        <v>12083278.5</v>
      </c>
      <c r="P25" s="18">
        <f t="shared" si="0"/>
        <v>10873217.439999999</v>
      </c>
      <c r="Q25" s="18">
        <f t="shared" si="0"/>
        <v>12273693.190000001</v>
      </c>
      <c r="R25" s="18">
        <f t="shared" si="0"/>
        <v>0</v>
      </c>
      <c r="S25" s="7">
        <f t="shared" si="0"/>
        <v>0</v>
      </c>
      <c r="T25" s="7">
        <f t="shared" si="0"/>
        <v>0</v>
      </c>
      <c r="U25" s="11"/>
      <c r="V25" s="11"/>
      <c r="W25" s="11"/>
      <c r="X25" s="11"/>
      <c r="Y25" s="11"/>
      <c r="Z25" s="11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3"/>
      <c r="M27" s="67"/>
      <c r="N27" s="68"/>
      <c r="O27" s="68"/>
      <c r="P27" s="68"/>
      <c r="Q27" s="68"/>
      <c r="R27" s="68"/>
      <c r="S27" s="68"/>
      <c r="T27" s="68"/>
      <c r="U27" s="68"/>
      <c r="V27" s="68"/>
      <c r="W27" s="3"/>
      <c r="X27" s="3"/>
      <c r="Y27" s="3"/>
      <c r="Z27" s="3"/>
      <c r="AA27" s="3"/>
    </row>
    <row r="28" spans="1:27" ht="15.75" customHeight="1">
      <c r="A28" s="3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3"/>
      <c r="X28" s="3"/>
      <c r="Y28" s="3"/>
      <c r="Z28" s="3"/>
      <c r="AA28" s="3"/>
    </row>
    <row r="29" spans="1:27" ht="15.75" customHeight="1">
      <c r="A29" s="3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3"/>
      <c r="X29" s="3"/>
      <c r="Y29" s="3"/>
      <c r="Z29" s="3"/>
      <c r="AA29" s="3"/>
    </row>
    <row r="30" spans="1:27" ht="15.75" customHeight="1">
      <c r="A30" s="3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3"/>
      <c r="X30" s="3"/>
      <c r="Y30" s="3"/>
      <c r="Z30" s="3"/>
      <c r="AA30" s="3"/>
    </row>
    <row r="31" spans="1:27" ht="15.75" customHeight="1">
      <c r="A31" s="3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3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3"/>
      <c r="X31" s="3"/>
      <c r="Y31" s="3"/>
      <c r="Z31" s="3"/>
      <c r="AA31" s="3"/>
    </row>
    <row r="32" spans="1:27" ht="15.75" customHeight="1">
      <c r="A32" s="3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3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3"/>
      <c r="X32" s="3"/>
      <c r="Y32" s="3"/>
      <c r="Z32" s="3"/>
      <c r="AA32" s="3"/>
    </row>
    <row r="33" spans="1:27" ht="15.75" customHeight="1">
      <c r="A33" s="3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3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"/>
      <c r="X33" s="3"/>
      <c r="Y33" s="3"/>
      <c r="Z33" s="3"/>
      <c r="AA33" s="3"/>
    </row>
    <row r="34" spans="1:27" ht="15.75" customHeight="1">
      <c r="A34" s="3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3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"/>
      <c r="X34" s="3"/>
      <c r="Y34" s="3"/>
      <c r="Z34" s="3"/>
      <c r="AA34" s="3"/>
    </row>
    <row r="35" spans="1:27" ht="15.75" customHeight="1">
      <c r="A35" s="3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3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3"/>
      <c r="X35" s="3"/>
      <c r="Y35" s="3"/>
      <c r="Z35" s="3"/>
      <c r="AA35" s="3"/>
    </row>
    <row r="36" spans="1:27" ht="15.75" customHeight="1">
      <c r="A36" s="3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3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3"/>
      <c r="X36" s="3"/>
      <c r="Y36" s="3"/>
      <c r="Z36" s="3"/>
      <c r="AA36" s="3"/>
    </row>
    <row r="37" spans="1:27" ht="15.75" customHeight="1">
      <c r="A37" s="3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3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3"/>
      <c r="X37" s="3"/>
      <c r="Y37" s="3"/>
      <c r="Z37" s="3"/>
      <c r="AA37" s="3"/>
    </row>
    <row r="38" spans="1:27" ht="15.75" customHeight="1">
      <c r="A38" s="3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3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"/>
      <c r="X38" s="3"/>
      <c r="Y38" s="3"/>
      <c r="Z38" s="3"/>
      <c r="AA38" s="3"/>
    </row>
    <row r="39" spans="1:27" ht="15.75" customHeight="1">
      <c r="A39" s="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3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"/>
      <c r="X39" s="3"/>
      <c r="Y39" s="3"/>
      <c r="Z39" s="3"/>
      <c r="AA39" s="3"/>
    </row>
    <row r="40" spans="1:27" ht="15.75" customHeight="1">
      <c r="A40" s="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3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"/>
      <c r="X40" s="3"/>
      <c r="Y40" s="3"/>
      <c r="Z40" s="3"/>
      <c r="AA40" s="3"/>
    </row>
    <row r="41" spans="1:27" ht="15.75" customHeight="1">
      <c r="A41" s="3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3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3"/>
      <c r="X41" s="3"/>
      <c r="Y41" s="3"/>
      <c r="Z41" s="3"/>
      <c r="AA41" s="3"/>
    </row>
    <row r="42" spans="1:27" ht="15.75" customHeight="1">
      <c r="A42" s="3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3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3"/>
      <c r="X42" s="3"/>
      <c r="Y42" s="3"/>
      <c r="Z42" s="3"/>
      <c r="AA42" s="3"/>
    </row>
    <row r="43" spans="1:27" ht="15.75" customHeight="1">
      <c r="A43" s="3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3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3"/>
      <c r="X43" s="3"/>
      <c r="Y43" s="3"/>
      <c r="Z43" s="3"/>
      <c r="AA43" s="3"/>
    </row>
    <row r="44" spans="1:27" ht="15.75" customHeight="1">
      <c r="A44" s="3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3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3"/>
      <c r="X44" s="3"/>
      <c r="Y44" s="3"/>
      <c r="Z44" s="3"/>
      <c r="AA44" s="3"/>
    </row>
    <row r="45" spans="1:27" ht="15.75" customHeight="1">
      <c r="A45" s="3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3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3"/>
      <c r="X45" s="3"/>
      <c r="Y45" s="3"/>
      <c r="Z45" s="3"/>
      <c r="AA45" s="3"/>
    </row>
    <row r="46" spans="1:27" ht="15.75" customHeight="1">
      <c r="A46" s="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3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67"/>
      <c r="C48" s="68"/>
      <c r="D48" s="68"/>
      <c r="E48" s="68"/>
      <c r="F48" s="68"/>
      <c r="G48" s="68"/>
      <c r="H48" s="68"/>
      <c r="I48" s="68"/>
      <c r="J48" s="68"/>
      <c r="K48" s="68"/>
      <c r="L48" s="3"/>
      <c r="M48" s="67"/>
      <c r="N48" s="68"/>
      <c r="O48" s="68"/>
      <c r="P48" s="68"/>
      <c r="Q48" s="68"/>
      <c r="R48" s="68"/>
      <c r="S48" s="68"/>
      <c r="T48" s="68"/>
      <c r="U48" s="68"/>
      <c r="V48" s="68"/>
      <c r="W48" s="3"/>
      <c r="X48" s="3"/>
      <c r="Y48" s="3"/>
      <c r="Z48" s="3"/>
      <c r="AA48" s="3"/>
    </row>
    <row r="49" spans="1:27" ht="15.75" customHeight="1">
      <c r="A49" s="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3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3"/>
      <c r="X49" s="3"/>
      <c r="Y49" s="3"/>
      <c r="Z49" s="3"/>
      <c r="AA49" s="3"/>
    </row>
    <row r="50" spans="1:27" ht="15.75" customHeight="1">
      <c r="A50" s="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3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3"/>
      <c r="X50" s="3"/>
      <c r="Y50" s="3"/>
      <c r="Z50" s="3"/>
      <c r="AA50" s="3"/>
    </row>
    <row r="51" spans="1:27" ht="15.75" customHeight="1">
      <c r="A51" s="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3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3"/>
      <c r="X51" s="3"/>
      <c r="Y51" s="3"/>
      <c r="Z51" s="3"/>
      <c r="AA51" s="3"/>
    </row>
    <row r="52" spans="1:27" ht="15.75" customHeight="1">
      <c r="A52" s="3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3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3"/>
      <c r="X52" s="3"/>
      <c r="Y52" s="3"/>
      <c r="Z52" s="3"/>
      <c r="AA52" s="3"/>
    </row>
    <row r="53" spans="1:27" ht="18">
      <c r="A53" s="3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3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3"/>
      <c r="X53" s="3"/>
      <c r="Y53" s="3"/>
      <c r="Z53" s="3"/>
      <c r="AA53" s="3"/>
    </row>
    <row r="54" spans="1:27" ht="18">
      <c r="A54" s="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3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3"/>
      <c r="X54" s="3"/>
      <c r="Y54" s="3"/>
      <c r="Z54" s="3"/>
      <c r="AA54" s="3"/>
    </row>
    <row r="55" spans="1:27" ht="18">
      <c r="A55" s="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3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3"/>
      <c r="X55" s="3"/>
      <c r="Y55" s="3"/>
      <c r="Z55" s="3"/>
      <c r="AA55" s="3"/>
    </row>
    <row r="56" spans="1:27" ht="18">
      <c r="A56" s="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3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3"/>
      <c r="X56" s="3"/>
      <c r="Y56" s="3"/>
      <c r="Z56" s="3"/>
      <c r="AA56" s="3"/>
    </row>
    <row r="57" spans="1:27" ht="18">
      <c r="A57" s="3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3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3"/>
      <c r="X57" s="3"/>
      <c r="Y57" s="3"/>
      <c r="Z57" s="3"/>
      <c r="AA57" s="3"/>
    </row>
    <row r="58" spans="1:27" ht="18">
      <c r="A58" s="3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3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3"/>
      <c r="X58" s="3"/>
      <c r="Y58" s="3"/>
      <c r="Z58" s="3"/>
      <c r="AA58" s="3"/>
    </row>
    <row r="59" spans="1:27" ht="18">
      <c r="A59" s="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3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3"/>
      <c r="X59" s="3"/>
      <c r="Y59" s="3"/>
      <c r="Z59" s="3"/>
      <c r="AA59" s="3"/>
    </row>
    <row r="60" spans="1:27" ht="18">
      <c r="A60" s="3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3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3"/>
      <c r="X60" s="3"/>
      <c r="Y60" s="3"/>
      <c r="Z60" s="3"/>
      <c r="AA60" s="3"/>
    </row>
    <row r="61" spans="1:27" ht="18">
      <c r="A61" s="3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3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3"/>
      <c r="X61" s="3"/>
      <c r="Y61" s="3"/>
      <c r="Z61" s="3"/>
      <c r="AA61" s="3"/>
    </row>
    <row r="62" spans="1:27" ht="18">
      <c r="A62" s="3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3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3"/>
      <c r="X62" s="3"/>
      <c r="Y62" s="3"/>
      <c r="Z62" s="3"/>
      <c r="AA62" s="3"/>
    </row>
    <row r="63" spans="1:27" ht="18">
      <c r="A63" s="3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3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3"/>
      <c r="X63" s="3"/>
      <c r="Y63" s="3"/>
      <c r="Z63" s="3"/>
      <c r="AA63" s="3"/>
    </row>
    <row r="64" spans="1:27" ht="18">
      <c r="A64" s="3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3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3"/>
      <c r="X64" s="3"/>
      <c r="Y64" s="3"/>
      <c r="Z64" s="3"/>
      <c r="AA64" s="3"/>
    </row>
    <row r="65" spans="1:27" ht="18">
      <c r="A65" s="3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3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3"/>
      <c r="X65" s="3"/>
      <c r="Y65" s="3"/>
      <c r="Z65" s="3"/>
      <c r="AA65" s="3"/>
    </row>
    <row r="66" spans="1:27" ht="18">
      <c r="A66" s="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3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3"/>
      <c r="X66" s="3"/>
      <c r="Y66" s="3"/>
      <c r="Z66" s="3"/>
      <c r="AA66" s="3"/>
    </row>
    <row r="67" spans="1:27" ht="18">
      <c r="A67" s="3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3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3"/>
      <c r="X67" s="3"/>
      <c r="Y67" s="3"/>
      <c r="Z67" s="3"/>
      <c r="AA67" s="3"/>
    </row>
    <row r="68" spans="1:27" ht="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">
      <c r="A69" s="6" t="s">
        <v>50</v>
      </c>
      <c r="B69" s="6" t="s">
        <v>3</v>
      </c>
      <c r="C69" s="6" t="s">
        <v>4</v>
      </c>
      <c r="D69" s="6" t="s">
        <v>5</v>
      </c>
      <c r="E69" s="6" t="s">
        <v>6</v>
      </c>
      <c r="F69" s="6" t="s">
        <v>7</v>
      </c>
      <c r="G69" s="6" t="s">
        <v>8</v>
      </c>
      <c r="H69" s="6" t="s">
        <v>9</v>
      </c>
      <c r="I69" s="6" t="s">
        <v>10</v>
      </c>
      <c r="J69" s="6" t="s">
        <v>11</v>
      </c>
      <c r="K69" s="6" t="s">
        <v>12</v>
      </c>
      <c r="L69" s="6" t="s">
        <v>13</v>
      </c>
      <c r="M69" s="6" t="s">
        <v>14</v>
      </c>
      <c r="N69" s="7" t="s">
        <v>15</v>
      </c>
      <c r="O69" s="7" t="s">
        <v>16</v>
      </c>
      <c r="P69" s="7" t="s">
        <v>17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">
      <c r="A70" s="11" t="s">
        <v>49</v>
      </c>
      <c r="B70" s="10">
        <v>11188922.009999998</v>
      </c>
      <c r="C70" s="10">
        <v>10600814.199999999</v>
      </c>
      <c r="D70" s="20">
        <v>10620456</v>
      </c>
      <c r="E70" s="10">
        <v>10916009.110000001</v>
      </c>
      <c r="F70" s="10">
        <v>10033898.449999999</v>
      </c>
      <c r="G70" s="10">
        <v>10576507.870000001</v>
      </c>
      <c r="H70" s="10">
        <v>11026631.909999996</v>
      </c>
      <c r="I70" s="10">
        <v>11718881.280000001</v>
      </c>
      <c r="J70" s="10">
        <v>11000964.58</v>
      </c>
      <c r="K70" s="10">
        <v>11213234.150000002</v>
      </c>
      <c r="L70" s="10">
        <v>10637615.949999999</v>
      </c>
      <c r="M70" s="10">
        <v>9978489.2200000007</v>
      </c>
      <c r="N70" s="10">
        <v>12083278.5</v>
      </c>
      <c r="O70" s="10">
        <v>10873217.439999999</v>
      </c>
      <c r="P70" s="10">
        <v>12273693.190000001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8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8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8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8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8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8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8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8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8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8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8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8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8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8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8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8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8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8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8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8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8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8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8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8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8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8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8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8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8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8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8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8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8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8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8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8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8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8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8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8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8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8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8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8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8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8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8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8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8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8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8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8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8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8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8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8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8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8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8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8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8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8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8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8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8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8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8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8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8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8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8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8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8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8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8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8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8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8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8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8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8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8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8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8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8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8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8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8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8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8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8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8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8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8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8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8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8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8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8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8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8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8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8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8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8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8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8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8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8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8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8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8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8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8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8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8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8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8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8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8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8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8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8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8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8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8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8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8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8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8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8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8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8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8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8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8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8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8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8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8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8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8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8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8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8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8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8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8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6">
    <mergeCell ref="C1:N1"/>
    <mergeCell ref="O1:Z1"/>
    <mergeCell ref="B27:K46"/>
    <mergeCell ref="M27:V46"/>
    <mergeCell ref="B48:K67"/>
    <mergeCell ref="M48:V67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X999"/>
  <sheetViews>
    <sheetView workbookViewId="0">
      <selection sqref="A1:I1"/>
    </sheetView>
  </sheetViews>
  <sheetFormatPr defaultColWidth="11.25" defaultRowHeight="15.75" customHeight="1"/>
  <cols>
    <col min="1" max="1" width="4.5" customWidth="1"/>
    <col min="3" max="3" width="13.875" customWidth="1"/>
    <col min="4" max="4" width="17.125" customWidth="1"/>
    <col min="5" max="5" width="15.375" customWidth="1"/>
    <col min="6" max="7" width="17.625" customWidth="1"/>
    <col min="9" max="9" width="25.5" customWidth="1"/>
    <col min="10" max="10" width="23.125" customWidth="1"/>
    <col min="11" max="11" width="16" customWidth="1"/>
    <col min="13" max="13" width="14.625" customWidth="1"/>
  </cols>
  <sheetData>
    <row r="1" spans="1:24" ht="27.75" customHeight="1">
      <c r="A1" s="69" t="s">
        <v>51</v>
      </c>
      <c r="B1" s="68"/>
      <c r="C1" s="68"/>
      <c r="D1" s="68"/>
      <c r="E1" s="68"/>
      <c r="F1" s="68"/>
      <c r="G1" s="68"/>
      <c r="H1" s="68"/>
      <c r="I1" s="68"/>
      <c r="J1" s="21"/>
      <c r="K1" s="21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6.5">
      <c r="A2" s="70" t="s">
        <v>52</v>
      </c>
      <c r="B2" s="70" t="s">
        <v>53</v>
      </c>
      <c r="C2" s="23" t="s">
        <v>54</v>
      </c>
      <c r="D2" s="23" t="s">
        <v>55</v>
      </c>
      <c r="E2" s="23" t="s">
        <v>56</v>
      </c>
      <c r="F2" s="23" t="s">
        <v>57</v>
      </c>
      <c r="G2" s="72" t="s">
        <v>58</v>
      </c>
      <c r="H2" s="65"/>
      <c r="I2" s="73" t="s">
        <v>59</v>
      </c>
      <c r="J2" s="73" t="s">
        <v>60</v>
      </c>
      <c r="K2" s="73" t="s">
        <v>61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16.5">
      <c r="A3" s="71"/>
      <c r="B3" s="71"/>
      <c r="C3" s="23" t="s">
        <v>62</v>
      </c>
      <c r="D3" s="23" t="s">
        <v>62</v>
      </c>
      <c r="E3" s="23" t="s">
        <v>62</v>
      </c>
      <c r="F3" s="23" t="s">
        <v>62</v>
      </c>
      <c r="G3" s="23" t="s">
        <v>63</v>
      </c>
      <c r="H3" s="23" t="s">
        <v>64</v>
      </c>
      <c r="I3" s="71"/>
      <c r="J3" s="71"/>
      <c r="K3" s="71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16.5">
      <c r="A4" s="24" t="e">
        <f t="array" aca="1" ref="A4:A25" ca="1">_xludf.SEQUENCE(22,1)</f>
        <v>#NAME?</v>
      </c>
      <c r="B4" s="25" t="s">
        <v>27</v>
      </c>
      <c r="C4" s="26">
        <v>4045731.25</v>
      </c>
      <c r="D4" s="26">
        <v>5047852</v>
      </c>
      <c r="E4" s="26">
        <v>3802379</v>
      </c>
      <c r="F4" s="26">
        <v>74669.87</v>
      </c>
      <c r="G4" s="26">
        <f t="shared" ref="G4:G25" si="0">D4-E4-F4</f>
        <v>1170803.1299999999</v>
      </c>
      <c r="H4" s="27">
        <f t="shared" ref="H4:H26" si="1">(G4/D4)*100</f>
        <v>23.194085920110176</v>
      </c>
      <c r="I4" s="24"/>
      <c r="J4" s="24" t="s">
        <v>65</v>
      </c>
      <c r="K4" s="28" t="s">
        <v>66</v>
      </c>
      <c r="L4" s="22"/>
      <c r="M4" s="22">
        <f t="shared" ref="M4:M26" si="2">D4/31/24</f>
        <v>6784.7473118279568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6.5">
      <c r="A5" s="24" t="e">
        <f ca="1"/>
        <v>#NAME?</v>
      </c>
      <c r="B5" s="25" t="s">
        <v>28</v>
      </c>
      <c r="C5" s="26">
        <v>6517693</v>
      </c>
      <c r="D5" s="26">
        <v>6303346.46</v>
      </c>
      <c r="E5" s="26">
        <v>4425474</v>
      </c>
      <c r="F5" s="29">
        <v>397157.13</v>
      </c>
      <c r="G5" s="26">
        <f t="shared" si="0"/>
        <v>1480715.33</v>
      </c>
      <c r="H5" s="27">
        <f t="shared" si="1"/>
        <v>23.490939922093386</v>
      </c>
      <c r="I5" s="24"/>
      <c r="J5" s="24" t="s">
        <v>67</v>
      </c>
      <c r="K5" s="28" t="s">
        <v>68</v>
      </c>
      <c r="L5" s="22"/>
      <c r="M5" s="22">
        <f t="shared" si="2"/>
        <v>8472.2398655913985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6.5">
      <c r="A6" s="24" t="e">
        <f ca="1"/>
        <v>#NAME?</v>
      </c>
      <c r="B6" s="25" t="s">
        <v>29</v>
      </c>
      <c r="C6" s="26">
        <v>2868881.02</v>
      </c>
      <c r="D6" s="26">
        <v>1952897.5</v>
      </c>
      <c r="E6" s="26">
        <v>1282967</v>
      </c>
      <c r="F6" s="26">
        <v>69655.490000000005</v>
      </c>
      <c r="G6" s="26">
        <f t="shared" si="0"/>
        <v>600275.01</v>
      </c>
      <c r="H6" s="27">
        <f t="shared" si="1"/>
        <v>30.737660834734033</v>
      </c>
      <c r="I6" s="24"/>
      <c r="J6" s="24"/>
      <c r="K6" s="28"/>
      <c r="L6" s="22"/>
      <c r="M6" s="22">
        <f t="shared" si="2"/>
        <v>2624.8622311827958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16.5">
      <c r="A7" s="24" t="e">
        <f ca="1"/>
        <v>#NAME?</v>
      </c>
      <c r="B7" s="25" t="s">
        <v>30</v>
      </c>
      <c r="C7" s="26">
        <v>2654800</v>
      </c>
      <c r="D7" s="26">
        <v>2377215</v>
      </c>
      <c r="E7" s="26">
        <v>1701438</v>
      </c>
      <c r="F7" s="26">
        <v>66822</v>
      </c>
      <c r="G7" s="26">
        <f t="shared" si="0"/>
        <v>608955</v>
      </c>
      <c r="H7" s="27">
        <f t="shared" si="1"/>
        <v>25.616319937405745</v>
      </c>
      <c r="I7" s="24"/>
      <c r="J7" s="24" t="s">
        <v>69</v>
      </c>
      <c r="K7" s="28" t="s">
        <v>70</v>
      </c>
      <c r="L7" s="22"/>
      <c r="M7" s="22">
        <f t="shared" si="2"/>
        <v>3195.1814516129034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6.5">
      <c r="A8" s="24" t="e">
        <f ca="1"/>
        <v>#NAME?</v>
      </c>
      <c r="B8" s="25" t="s">
        <v>31</v>
      </c>
      <c r="C8" s="26">
        <v>2382265</v>
      </c>
      <c r="D8" s="26">
        <v>2632872.02</v>
      </c>
      <c r="E8" s="26">
        <v>1488023</v>
      </c>
      <c r="F8" s="29">
        <f>210500</f>
        <v>210500</v>
      </c>
      <c r="G8" s="26">
        <f t="shared" si="0"/>
        <v>934349.02</v>
      </c>
      <c r="H8" s="27">
        <f t="shared" si="1"/>
        <v>35.487825192505937</v>
      </c>
      <c r="I8" s="24"/>
      <c r="J8" s="24" t="s">
        <v>71</v>
      </c>
      <c r="K8" s="28">
        <v>643963619</v>
      </c>
      <c r="L8" s="22"/>
      <c r="M8" s="22">
        <f t="shared" si="2"/>
        <v>3538.8064784946237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6.5">
      <c r="A9" s="24" t="e">
        <f ca="1"/>
        <v>#NAME?</v>
      </c>
      <c r="B9" s="25" t="s">
        <v>32</v>
      </c>
      <c r="C9" s="26">
        <v>2962242</v>
      </c>
      <c r="D9" s="26">
        <v>2836712</v>
      </c>
      <c r="E9" s="26">
        <v>1971000</v>
      </c>
      <c r="F9" s="26">
        <v>60156</v>
      </c>
      <c r="G9" s="26">
        <f t="shared" si="0"/>
        <v>805556</v>
      </c>
      <c r="H9" s="27">
        <f t="shared" si="1"/>
        <v>28.397525021926796</v>
      </c>
      <c r="I9" s="24"/>
      <c r="J9" s="24" t="s">
        <v>72</v>
      </c>
      <c r="K9" s="28" t="s">
        <v>73</v>
      </c>
      <c r="L9" s="22"/>
      <c r="M9" s="22">
        <f t="shared" si="2"/>
        <v>3812.7849462365593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6.5">
      <c r="A10" s="24" t="e">
        <f ca="1"/>
        <v>#NAME?</v>
      </c>
      <c r="B10" s="25" t="s">
        <v>33</v>
      </c>
      <c r="C10" s="30">
        <v>1064049.3</v>
      </c>
      <c r="D10" s="30">
        <v>1054778</v>
      </c>
      <c r="E10" s="30">
        <f>870557+17872+32+20+347</f>
        <v>888828</v>
      </c>
      <c r="F10" s="30">
        <v>46500</v>
      </c>
      <c r="G10" s="26">
        <f t="shared" si="0"/>
        <v>119450</v>
      </c>
      <c r="H10" s="27">
        <f t="shared" si="1"/>
        <v>11.324657890096304</v>
      </c>
      <c r="I10" s="24"/>
      <c r="J10" s="24" t="s">
        <v>74</v>
      </c>
      <c r="K10" s="28" t="s">
        <v>75</v>
      </c>
      <c r="L10" s="22"/>
      <c r="M10" s="22">
        <f t="shared" si="2"/>
        <v>1417.7123655913977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6.5">
      <c r="A11" s="24" t="e">
        <f ca="1"/>
        <v>#NAME?</v>
      </c>
      <c r="B11" s="25" t="s">
        <v>34</v>
      </c>
      <c r="C11" s="26">
        <v>1375234.38</v>
      </c>
      <c r="D11" s="26">
        <v>1352550</v>
      </c>
      <c r="E11" s="26">
        <v>1128045</v>
      </c>
      <c r="F11" s="26">
        <v>42515.02</v>
      </c>
      <c r="G11" s="26">
        <f t="shared" si="0"/>
        <v>181989.98</v>
      </c>
      <c r="H11" s="27">
        <f t="shared" si="1"/>
        <v>13.455323647924292</v>
      </c>
      <c r="I11" s="24"/>
      <c r="J11" s="24" t="s">
        <v>76</v>
      </c>
      <c r="K11" s="28" t="s">
        <v>77</v>
      </c>
      <c r="L11" s="22"/>
      <c r="M11" s="22">
        <f t="shared" si="2"/>
        <v>1817.9435483870968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6.5">
      <c r="A12" s="24" t="e">
        <f ca="1"/>
        <v>#NAME?</v>
      </c>
      <c r="B12" s="25" t="s">
        <v>35</v>
      </c>
      <c r="C12" s="26">
        <v>3105426</v>
      </c>
      <c r="D12" s="26">
        <v>2824500</v>
      </c>
      <c r="E12" s="26">
        <v>1731577</v>
      </c>
      <c r="F12" s="29">
        <v>175950</v>
      </c>
      <c r="G12" s="26">
        <f t="shared" si="0"/>
        <v>916973</v>
      </c>
      <c r="H12" s="27">
        <f t="shared" si="1"/>
        <v>32.464967250840857</v>
      </c>
      <c r="I12" s="24"/>
      <c r="J12" s="24" t="s">
        <v>78</v>
      </c>
      <c r="K12" s="31" t="s">
        <v>79</v>
      </c>
      <c r="L12" s="22"/>
      <c r="M12" s="22">
        <f t="shared" si="2"/>
        <v>3796.3709677419356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6.5">
      <c r="A13" s="24" t="e">
        <f ca="1"/>
        <v>#NAME?</v>
      </c>
      <c r="B13" s="25" t="s">
        <v>36</v>
      </c>
      <c r="C13" s="26">
        <v>986356.6</v>
      </c>
      <c r="D13" s="26">
        <v>790180</v>
      </c>
      <c r="E13" s="26">
        <v>525905</v>
      </c>
      <c r="F13" s="30">
        <v>27046</v>
      </c>
      <c r="G13" s="26">
        <f t="shared" si="0"/>
        <v>237229</v>
      </c>
      <c r="H13" s="27">
        <f t="shared" si="1"/>
        <v>30.022146852615862</v>
      </c>
      <c r="I13" s="24"/>
      <c r="J13" s="24"/>
      <c r="K13" s="28"/>
      <c r="L13" s="22"/>
      <c r="M13" s="22">
        <f t="shared" si="2"/>
        <v>1062.0698924731182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6.5">
      <c r="A14" s="24" t="e">
        <f ca="1"/>
        <v>#NAME?</v>
      </c>
      <c r="B14" s="25" t="s">
        <v>37</v>
      </c>
      <c r="C14" s="26">
        <v>2053947</v>
      </c>
      <c r="D14" s="26">
        <v>1981451</v>
      </c>
      <c r="E14" s="26">
        <v>1573915</v>
      </c>
      <c r="F14" s="32">
        <v>88965</v>
      </c>
      <c r="G14" s="26">
        <f t="shared" si="0"/>
        <v>318571</v>
      </c>
      <c r="H14" s="27">
        <f t="shared" si="1"/>
        <v>16.077662278804773</v>
      </c>
      <c r="I14" s="24"/>
      <c r="J14" s="24" t="s">
        <v>80</v>
      </c>
      <c r="K14" s="28" t="s">
        <v>81</v>
      </c>
      <c r="L14" s="22"/>
      <c r="M14" s="22">
        <f t="shared" si="2"/>
        <v>2663.2405913978496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6.5">
      <c r="A15" s="24" t="e">
        <f ca="1"/>
        <v>#NAME?</v>
      </c>
      <c r="B15" s="25" t="s">
        <v>38</v>
      </c>
      <c r="C15" s="26">
        <v>3344490</v>
      </c>
      <c r="D15" s="26">
        <v>3242974</v>
      </c>
      <c r="E15" s="26">
        <v>2262585</v>
      </c>
      <c r="F15" s="29">
        <v>131653</v>
      </c>
      <c r="G15" s="26">
        <f t="shared" si="0"/>
        <v>848736</v>
      </c>
      <c r="H15" s="27">
        <f t="shared" si="1"/>
        <v>26.171532673404101</v>
      </c>
      <c r="I15" s="24"/>
      <c r="J15" s="24" t="s">
        <v>82</v>
      </c>
      <c r="K15" s="28" t="s">
        <v>83</v>
      </c>
      <c r="L15" s="22"/>
      <c r="M15" s="22">
        <f t="shared" si="2"/>
        <v>4358.8360215053763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6.5">
      <c r="A16" s="24" t="e">
        <f ca="1"/>
        <v>#NAME?</v>
      </c>
      <c r="B16" s="25" t="s">
        <v>39</v>
      </c>
      <c r="C16" s="26">
        <v>1050797</v>
      </c>
      <c r="D16" s="26">
        <v>852449</v>
      </c>
      <c r="E16" s="26">
        <v>406572</v>
      </c>
      <c r="F16" s="26">
        <v>17876</v>
      </c>
      <c r="G16" s="26">
        <f t="shared" si="0"/>
        <v>428001</v>
      </c>
      <c r="H16" s="27">
        <f t="shared" si="1"/>
        <v>50.2083995640795</v>
      </c>
      <c r="I16" s="24"/>
      <c r="J16" s="24" t="s">
        <v>84</v>
      </c>
      <c r="K16" s="28"/>
      <c r="L16" s="22"/>
      <c r="M16" s="22">
        <f t="shared" si="2"/>
        <v>1145.7647849462367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6.5">
      <c r="A17" s="24" t="e">
        <f ca="1"/>
        <v>#NAME?</v>
      </c>
      <c r="B17" s="25" t="s">
        <v>40</v>
      </c>
      <c r="C17" s="26">
        <v>2284323</v>
      </c>
      <c r="D17" s="26">
        <v>2012679</v>
      </c>
      <c r="E17" s="26">
        <v>1285024</v>
      </c>
      <c r="F17" s="26">
        <v>55149</v>
      </c>
      <c r="G17" s="26">
        <f t="shared" si="0"/>
        <v>672506</v>
      </c>
      <c r="H17" s="27">
        <f t="shared" si="1"/>
        <v>33.413475273503622</v>
      </c>
      <c r="I17" s="24"/>
      <c r="J17" s="28" t="s">
        <v>85</v>
      </c>
      <c r="K17" s="28" t="s">
        <v>86</v>
      </c>
      <c r="L17" s="22"/>
      <c r="M17" s="22">
        <f t="shared" si="2"/>
        <v>2705.2137096774195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6.5">
      <c r="A18" s="24" t="e">
        <f ca="1"/>
        <v>#NAME?</v>
      </c>
      <c r="B18" s="25" t="s">
        <v>41</v>
      </c>
      <c r="C18" s="26">
        <v>596361.89</v>
      </c>
      <c r="D18" s="26">
        <v>576657</v>
      </c>
      <c r="E18" s="26">
        <v>233970</v>
      </c>
      <c r="F18" s="26">
        <v>11400.69</v>
      </c>
      <c r="G18" s="26">
        <f t="shared" si="0"/>
        <v>331286.31</v>
      </c>
      <c r="H18" s="27">
        <f t="shared" si="1"/>
        <v>57.449456089148313</v>
      </c>
      <c r="I18" s="24"/>
      <c r="J18" s="24" t="s">
        <v>87</v>
      </c>
      <c r="K18" s="28" t="s">
        <v>88</v>
      </c>
      <c r="L18" s="22"/>
      <c r="M18" s="22">
        <f t="shared" si="2"/>
        <v>775.07661290322585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6.5">
      <c r="A19" s="24" t="e">
        <f ca="1"/>
        <v>#NAME?</v>
      </c>
      <c r="B19" s="25" t="s">
        <v>42</v>
      </c>
      <c r="C19" s="26">
        <v>1644981</v>
      </c>
      <c r="D19" s="26">
        <v>1279169</v>
      </c>
      <c r="E19" s="26">
        <v>489725</v>
      </c>
      <c r="F19" s="26">
        <v>1693</v>
      </c>
      <c r="G19" s="26">
        <f t="shared" si="0"/>
        <v>787751</v>
      </c>
      <c r="H19" s="27">
        <f t="shared" si="1"/>
        <v>61.583027731284922</v>
      </c>
      <c r="I19" s="24"/>
      <c r="J19" s="24" t="s">
        <v>89</v>
      </c>
      <c r="K19" s="28" t="s">
        <v>90</v>
      </c>
      <c r="L19" s="22"/>
      <c r="M19" s="22">
        <f t="shared" si="2"/>
        <v>1719.3131720430108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6.5">
      <c r="A20" s="24" t="e">
        <f ca="1"/>
        <v>#NAME?</v>
      </c>
      <c r="B20" s="25" t="s">
        <v>43</v>
      </c>
      <c r="C20" s="26">
        <v>163232</v>
      </c>
      <c r="D20" s="26">
        <v>153416</v>
      </c>
      <c r="E20" s="26">
        <v>63425</v>
      </c>
      <c r="F20" s="26">
        <v>53</v>
      </c>
      <c r="G20" s="26">
        <f t="shared" si="0"/>
        <v>89938</v>
      </c>
      <c r="H20" s="27">
        <f t="shared" si="1"/>
        <v>58.623611618084162</v>
      </c>
      <c r="I20" s="24"/>
      <c r="J20" s="24" t="s">
        <v>91</v>
      </c>
      <c r="K20" s="28" t="s">
        <v>92</v>
      </c>
      <c r="L20" s="27">
        <v>49850</v>
      </c>
      <c r="M20" s="22">
        <f t="shared" si="2"/>
        <v>206.20430107526883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6.5">
      <c r="A21" s="24" t="e">
        <f ca="1"/>
        <v>#NAME?</v>
      </c>
      <c r="B21" s="25" t="s">
        <v>44</v>
      </c>
      <c r="C21" s="26">
        <v>663582.85</v>
      </c>
      <c r="D21" s="26">
        <v>586321.87</v>
      </c>
      <c r="E21" s="26">
        <v>299556</v>
      </c>
      <c r="F21" s="26">
        <v>35810</v>
      </c>
      <c r="G21" s="26">
        <f t="shared" si="0"/>
        <v>250955.87</v>
      </c>
      <c r="H21" s="27">
        <f t="shared" si="1"/>
        <v>42.801724247468378</v>
      </c>
      <c r="I21" s="24"/>
      <c r="J21" s="24" t="s">
        <v>93</v>
      </c>
      <c r="K21" s="28">
        <v>992470958</v>
      </c>
      <c r="L21" s="22"/>
      <c r="M21" s="22">
        <f t="shared" si="2"/>
        <v>788.0670295698925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6.5">
      <c r="A22" s="24" t="e">
        <f ca="1"/>
        <v>#NAME?</v>
      </c>
      <c r="B22" s="25" t="s">
        <v>45</v>
      </c>
      <c r="C22" s="26">
        <v>186039</v>
      </c>
      <c r="D22" s="26">
        <v>154079</v>
      </c>
      <c r="E22" s="26">
        <v>107984</v>
      </c>
      <c r="F22" s="26">
        <v>8090.15</v>
      </c>
      <c r="G22" s="26">
        <f t="shared" si="0"/>
        <v>38004.85</v>
      </c>
      <c r="H22" s="27">
        <f t="shared" si="1"/>
        <v>24.665820780249092</v>
      </c>
      <c r="I22" s="24"/>
      <c r="J22" s="33" t="s">
        <v>94</v>
      </c>
      <c r="K22" s="34" t="s">
        <v>95</v>
      </c>
      <c r="L22" s="22"/>
      <c r="M22" s="22">
        <f t="shared" si="2"/>
        <v>207.09543010752688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6.5">
      <c r="A23" s="24" t="e">
        <f ca="1"/>
        <v>#NAME?</v>
      </c>
      <c r="B23" s="25" t="s">
        <v>46</v>
      </c>
      <c r="C23" s="26">
        <v>637247</v>
      </c>
      <c r="D23" s="26">
        <v>634818</v>
      </c>
      <c r="E23" s="26">
        <v>360337</v>
      </c>
      <c r="F23" s="26">
        <v>23554</v>
      </c>
      <c r="G23" s="26">
        <f t="shared" si="0"/>
        <v>250927</v>
      </c>
      <c r="H23" s="27">
        <f t="shared" si="1"/>
        <v>39.52739210293344</v>
      </c>
      <c r="I23" s="24"/>
      <c r="J23" s="24" t="s">
        <v>96</v>
      </c>
      <c r="K23" s="28" t="s">
        <v>97</v>
      </c>
      <c r="L23" s="22"/>
      <c r="M23" s="22">
        <f t="shared" si="2"/>
        <v>853.25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6.5">
      <c r="A24" s="24" t="e">
        <f ca="1"/>
        <v>#NAME?</v>
      </c>
      <c r="B24" s="25" t="s">
        <v>47</v>
      </c>
      <c r="C24" s="26">
        <v>1726776</v>
      </c>
      <c r="D24" s="26">
        <v>1647287</v>
      </c>
      <c r="E24" s="26">
        <v>759325</v>
      </c>
      <c r="F24" s="26">
        <v>17150</v>
      </c>
      <c r="G24" s="26">
        <f t="shared" si="0"/>
        <v>870812</v>
      </c>
      <c r="H24" s="27">
        <f t="shared" si="1"/>
        <v>52.863405101843206</v>
      </c>
      <c r="I24" s="24"/>
      <c r="J24" s="24"/>
      <c r="K24" s="28"/>
      <c r="L24" s="22"/>
      <c r="M24" s="22">
        <f t="shared" si="2"/>
        <v>2214.0954301075267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6.5">
      <c r="A25" s="24" t="e">
        <f ca="1"/>
        <v>#NAME?</v>
      </c>
      <c r="B25" s="25" t="s">
        <v>48</v>
      </c>
      <c r="C25" s="26">
        <v>569141</v>
      </c>
      <c r="D25" s="26">
        <v>543555</v>
      </c>
      <c r="E25" s="26">
        <v>293413</v>
      </c>
      <c r="F25" s="26">
        <v>62000</v>
      </c>
      <c r="G25" s="26">
        <f t="shared" si="0"/>
        <v>188142</v>
      </c>
      <c r="H25" s="27">
        <f t="shared" si="1"/>
        <v>34.613240610425812</v>
      </c>
      <c r="I25" s="24"/>
      <c r="J25" s="24" t="s">
        <v>98</v>
      </c>
      <c r="K25" s="28" t="s">
        <v>99</v>
      </c>
      <c r="L25" s="22"/>
      <c r="M25" s="22">
        <f t="shared" si="2"/>
        <v>730.58467741935476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6.5">
      <c r="A26" s="74" t="s">
        <v>100</v>
      </c>
      <c r="B26" s="65"/>
      <c r="C26" s="35">
        <f>SUM(C4:C25)</f>
        <v>42883596.289999999</v>
      </c>
      <c r="D26" s="35">
        <f t="shared" ref="D26:G26" si="3">SUM(D4:D25)</f>
        <v>40837758.850000001</v>
      </c>
      <c r="E26" s="35">
        <f t="shared" si="3"/>
        <v>27081467</v>
      </c>
      <c r="F26" s="35">
        <f t="shared" si="3"/>
        <v>1624365.3499999999</v>
      </c>
      <c r="G26" s="35">
        <f t="shared" si="3"/>
        <v>12131926.5</v>
      </c>
      <c r="H26" s="36">
        <f t="shared" si="1"/>
        <v>29.707620696232205</v>
      </c>
      <c r="I26" s="22"/>
      <c r="J26" s="22"/>
      <c r="K26" s="21"/>
      <c r="L26" s="22"/>
      <c r="M26" s="22">
        <f t="shared" si="2"/>
        <v>54889.460819892476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6.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1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6.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1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6.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6.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6.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1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6.5">
      <c r="A32" s="22"/>
      <c r="B32" s="22"/>
      <c r="C32" s="22"/>
      <c r="D32" s="22"/>
      <c r="E32" s="37"/>
      <c r="F32" s="38"/>
      <c r="G32" s="37"/>
      <c r="H32" s="22"/>
      <c r="I32" s="22"/>
      <c r="J32" s="22"/>
      <c r="K32" s="2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6.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1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6.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6.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1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6.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1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6.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6.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6.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1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6.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6.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6.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1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6.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1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6.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6.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1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6.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6.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1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6.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1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6.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1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6.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1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6.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1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6.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1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6.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1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6.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1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6.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1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6.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1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6.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1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6.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1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6.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1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6.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1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6.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1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6.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1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6.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1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6.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1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6.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1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6.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1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6.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1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6.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1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6.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1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6.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1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6.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1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6.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1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6.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1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6.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1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6.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1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6.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1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6.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1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6.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1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6.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1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6.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1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6.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1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6.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1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6.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1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6.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1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6.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1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6.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1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6.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1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6.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1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6.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1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6.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1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6.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1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6.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1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6.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1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6.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1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6.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1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6.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1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6.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1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6.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1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6.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1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6.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1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6.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1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6.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1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6.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1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6.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1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6.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1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6.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1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6.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1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6.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1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6.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1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6.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1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6.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1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6.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1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6.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1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6.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1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6.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1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6.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1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6.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1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6.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1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6.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1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6.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1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6.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1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6.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1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6.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1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6.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1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6.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1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6.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1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6.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1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6.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1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6.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1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6.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1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6.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1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6.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1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6.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1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6.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1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6.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1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6.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1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6.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1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6.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1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6.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1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6.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1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6.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1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6.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1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6.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1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6.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1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6.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1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6.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1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6.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1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6.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1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6.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1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6.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1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6.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1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6.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1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6.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1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6.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1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6.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1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6.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1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6.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1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6.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1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6.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1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6.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1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6.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1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6.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1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6.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1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6.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1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6.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1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6.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1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6.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1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6.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1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6.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1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6.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1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6.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1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6.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1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6.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1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6.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1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6.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1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6.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1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6.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1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6.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1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6.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1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6.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1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6.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1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6.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1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6.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1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6.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1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6.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1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6.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1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6.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1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6.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1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6.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1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6.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1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6.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1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6.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1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6.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1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6.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1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6.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1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6.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1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6.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1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6.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1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6.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1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6.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1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6.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1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6.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1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6.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1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6.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1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6.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1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6.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1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6.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1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6.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1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6.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1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6.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1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6.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1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6.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1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6.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1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6.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1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6.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1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6.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1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6.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1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6.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1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6.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1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6.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1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6.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1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6.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1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6.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1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6.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1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6.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1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6.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1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6.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1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6.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1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6.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1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6.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1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6.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1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6.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1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6.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1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6.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1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6.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1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6.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1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6.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1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6.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1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4" ht="16.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1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4" ht="16.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1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ht="16.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1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ht="16.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1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ht="16.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1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6.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1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ht="16.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1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ht="16.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1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ht="16.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1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ht="16.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1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ht="16.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1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ht="16.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1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ht="16.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1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ht="16.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1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ht="16.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1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ht="16.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1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ht="16.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1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ht="16.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1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4" ht="16.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1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4" ht="16.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1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4" ht="16.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1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4" ht="16.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1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6.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1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4" ht="16.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1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4" ht="16.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1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4" ht="16.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1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4" ht="16.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1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4" ht="16.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1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4" ht="16.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1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4" ht="16.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1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4" ht="16.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1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4" ht="16.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1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spans="1:24" ht="16.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1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spans="1:24" ht="16.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1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spans="1:24" ht="16.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1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4" ht="16.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1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spans="1:24" ht="16.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1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6.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1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spans="1:24" ht="16.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1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4" ht="16.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1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4" ht="16.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1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4" ht="16.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1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4" ht="16.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1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4" ht="16.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1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4" ht="16.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1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spans="1:24" ht="16.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1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spans="1:24" ht="16.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1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ht="16.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1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spans="1:24" ht="16.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1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spans="1:24" ht="16.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1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spans="1:24" ht="16.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1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spans="1:24" ht="16.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1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spans="1:24" ht="16.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1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spans="1:24" ht="16.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1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spans="1:24" ht="16.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1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spans="1:24" ht="16.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1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spans="1:24" ht="16.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1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spans="1:24" ht="16.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1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spans="1:24" ht="16.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1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4" ht="16.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1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spans="1:24" ht="16.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1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spans="1:24" ht="16.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1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spans="1:24" ht="16.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1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spans="1:24" ht="16.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1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spans="1:24" ht="16.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1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spans="1:24" ht="16.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1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4" ht="16.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1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4" ht="16.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1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spans="1:24" ht="16.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1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spans="1:24" ht="16.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1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spans="1:24" ht="16.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1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4" ht="16.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1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4" ht="16.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1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4" ht="16.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1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4" ht="16.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1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4" ht="16.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1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4" ht="16.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1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4" ht="16.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1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spans="1:24" ht="16.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1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spans="1:24" ht="16.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1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spans="1:24" ht="16.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1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4" ht="16.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1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spans="1:24" ht="16.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1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spans="1:24" ht="16.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1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spans="1:24" ht="16.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1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4" ht="16.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1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4" ht="16.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1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4" ht="16.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1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4" ht="16.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1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4" ht="16.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1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4" ht="16.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1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spans="1:24" ht="16.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1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spans="1:24" ht="16.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1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spans="1:24" ht="16.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1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spans="1:24" ht="16.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1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spans="1:24" ht="16.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1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spans="1:24" ht="16.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1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spans="1:24" ht="16.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1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spans="1:24" ht="16.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1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spans="1:24" ht="16.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1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4" ht="16.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1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4" ht="16.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1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4" ht="16.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1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4" ht="16.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1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4" ht="16.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1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4" ht="16.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1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4" ht="16.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1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4" ht="16.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1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4" ht="16.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1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4" ht="16.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1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4" ht="16.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1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4" ht="16.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1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4" ht="16.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1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4" ht="16.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1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ht="16.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1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ht="16.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1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ht="16.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1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ht="16.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1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ht="16.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1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ht="16.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1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ht="16.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1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ht="16.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1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ht="16.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1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ht="16.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1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ht="16.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1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ht="16.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1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ht="16.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1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ht="16.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1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ht="16.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1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ht="16.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1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ht="16.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1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ht="16.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1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ht="16.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1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ht="16.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1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ht="16.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1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ht="16.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1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ht="16.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1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ht="16.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1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ht="16.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1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ht="16.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1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ht="16.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1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ht="16.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1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ht="16.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1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ht="16.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1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ht="16.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1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ht="16.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1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4" ht="16.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1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4" ht="16.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1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4" ht="16.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1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spans="1:24" ht="16.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1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spans="1:24" ht="16.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1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spans="1:24" ht="16.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1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spans="1:24" ht="16.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1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spans="1:24" ht="16.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1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4" ht="16.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1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4" ht="16.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1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4" ht="16.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1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4" ht="16.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1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4" ht="16.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1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4" ht="16.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1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4" ht="16.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1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4" ht="16.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1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ht="16.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1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ht="16.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1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ht="16.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1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ht="16.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1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ht="16.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1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ht="16.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1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ht="16.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1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6.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1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6.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1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6.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1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6.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1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6.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1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6.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1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6.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1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6.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1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6.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1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6.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1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6.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1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6.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1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6.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1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6.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1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6.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1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6.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1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6.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1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6.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1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6.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1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6.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1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6.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1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6.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1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6.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1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6.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1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4" ht="16.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1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ht="16.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1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6.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1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ht="16.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1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ht="16.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1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ht="16.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1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ht="16.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1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ht="16.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1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ht="16.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1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ht="16.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1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ht="16.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1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ht="16.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1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ht="16.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1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ht="16.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1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ht="16.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1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ht="16.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1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ht="16.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1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4" ht="16.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1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4" ht="16.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1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4" ht="16.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1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4" ht="16.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1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spans="1:24" ht="16.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1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spans="1:24" ht="16.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1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spans="1:24" ht="16.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1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4" ht="16.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1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4" ht="16.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1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4" ht="16.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1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6.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1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4" ht="16.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1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4" ht="16.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1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6.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1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6.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1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6.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1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6.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1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ht="16.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1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ht="16.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1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6.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1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6.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1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6.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1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6.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1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6.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1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6.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1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6.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1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6.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1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6.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1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6.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1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6.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1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6.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1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6.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1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6.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1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6.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1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6.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1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6.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1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6.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1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6.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1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6.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1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6.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1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6.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1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6.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1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6.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1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6.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1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6.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1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6.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1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6.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1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6.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1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6.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1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6.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1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6.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1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6.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1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6.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1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6.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1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6.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1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6.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1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6.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1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6.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1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6.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1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6.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1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6.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1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6.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1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6.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1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6.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1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6.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1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6.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1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6.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1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6.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1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6.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1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6.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1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6.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1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6.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1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6.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1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6.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1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6.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1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6.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1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6.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1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6.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1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6.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1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6.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1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6.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1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6.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1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6.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1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6.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1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6.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1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6.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1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6.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1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6.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1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6.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1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6.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1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6.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1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6.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1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6.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1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6.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1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6.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1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6.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1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6.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1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6.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1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6.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1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6.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1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6.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1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6.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1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6.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1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6.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1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6.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1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6.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1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6.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1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6.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1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6.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1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6.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1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6.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1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6.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1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6.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1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6.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1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6.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1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6.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1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6.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1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6.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1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6.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1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6.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1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6.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1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6.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1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6.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1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6.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1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6.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1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6.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1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6.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1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6.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1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6.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1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6.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1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6.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1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6.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1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6.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1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6.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1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6.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1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6.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1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6.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1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6.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1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6.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1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6.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1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6.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1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6.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1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6.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1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6.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1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6.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1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6.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1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6.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1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6.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1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6.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1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6.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1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6.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1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6.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1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6.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1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6.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1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6.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1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6.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1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6.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1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6.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1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6.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1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6.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1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6.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1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6.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1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6.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1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6.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1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6.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1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6.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1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6.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1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6.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1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6.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1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6.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1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6.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1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6.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1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6.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1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6.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1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6.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1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6.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1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6.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1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6.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1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6.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1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6.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1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6.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1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6.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1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6.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1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6.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1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6.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1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6.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1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6.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1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6.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1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6.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1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6.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1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6.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1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6.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1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6.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1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6.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1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6.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1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6.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1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6.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1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6.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1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6.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1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6.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1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6.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1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6.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1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6.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1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6.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1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6.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1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6.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1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6.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1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6.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1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6.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1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6.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1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6.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1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6.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1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6.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1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6.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1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6.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1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6.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1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6.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1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6.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1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6.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1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6.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1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6.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1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6.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1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6.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1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6.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1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6.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1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6.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1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6.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1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6.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1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6.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1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6.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1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6.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1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6.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1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6.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1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6.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1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6.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1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6.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1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6.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1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6.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1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6.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1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6.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1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6.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1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6.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1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6.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1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6.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1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6.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1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6.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1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6.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1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6.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1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6.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1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6.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1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6.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1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6.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1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6.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1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6.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1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6.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1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6.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1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6.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1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6.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1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6.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1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6.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1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6.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1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6.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1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6.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1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6.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1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6.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1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6.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1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6.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1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6.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1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6.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1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6.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1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6.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1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6.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1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6.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1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6.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1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6.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1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6.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1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6.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1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6.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1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6.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1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6.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1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6.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1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6.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1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6.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1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6.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1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6.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1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6.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1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6.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1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6.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1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6.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1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6.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1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6.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1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6.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1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6.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1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6.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1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6.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1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6.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1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6.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1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6.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1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6.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1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6.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1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6.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1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6.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1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6.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1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6.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1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6.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1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6.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1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6.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1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6.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1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6.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1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6.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1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6.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1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6.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1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6.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1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6.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1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6.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1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6.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1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6.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1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6.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1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6.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1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6.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1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6.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1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6.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1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6.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1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6.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1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6.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1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6.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1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6.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1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6.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1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6.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1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6.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1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6.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1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6.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1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6.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1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6.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1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6.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1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6.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1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6.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1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6.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1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6.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1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6.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1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6.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1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6.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1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6.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1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6.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1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6.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1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6.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1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6.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1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6.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1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6.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1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6.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1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6.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1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6.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1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6.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1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6.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1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6.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1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6.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1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6.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1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6.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1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6.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1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6.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1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6.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1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6.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1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6.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1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6.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1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6.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1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6.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1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6.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1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6.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1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6.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1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6.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1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6.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1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6.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1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6.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1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6.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1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6.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1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6.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1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6.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1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6.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1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6.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1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6.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1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6.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1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6.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1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6.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1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6.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1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6.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1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6.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1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6.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1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6.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1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6.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1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6.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1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6.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1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6.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1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6.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1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6.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1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6.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1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6.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1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6.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1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6.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1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6.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1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6.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1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6.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1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6.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1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6.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1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6.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1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6.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1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6.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1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6.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1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6.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1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6.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1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6.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1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6.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1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6.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1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6.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1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6.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1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6.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1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6.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1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6.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1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6.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1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6.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1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6.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1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6.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1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6.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1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6.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1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6.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1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6.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1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6.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1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6.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1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6.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1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6.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1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6.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1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6.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1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6.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1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6.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1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6.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1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6.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1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6.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1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6.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1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6.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1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6.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1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6.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1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6.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1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6.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1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6.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1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6.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1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6.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1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6.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1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6.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1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6.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1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6.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1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6.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1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6.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1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6.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1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6.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1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6.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1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6.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1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6.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1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6.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1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6.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1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6.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1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6.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1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6.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1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6.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1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6.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1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6.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1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6.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1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6.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1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6.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1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6.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1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6.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1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6.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1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6.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1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6.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1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6.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1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6.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1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6.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1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6.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1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6.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1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6.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1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6.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1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6.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1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6.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1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6.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1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6.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1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6.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1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6.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1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6.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1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6.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1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6.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1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6.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1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6.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1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6.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1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6.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1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6.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1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spans="1:24" ht="16.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1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spans="1:24" ht="16.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1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spans="1:24" ht="16.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1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spans="1:24" ht="16.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1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spans="1:24" ht="16.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1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spans="1:24" ht="16.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1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spans="1:24" ht="16.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1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spans="1:24" ht="16.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1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spans="1:24" ht="16.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1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spans="1:24" ht="16.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1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spans="1:24" ht="16.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1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spans="1:24" ht="16.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1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spans="1:24" ht="16.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1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spans="1:24" ht="16.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1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spans="1:24" ht="16.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1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spans="1:24" ht="16.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1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spans="1:24" ht="16.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1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spans="1:24" ht="16.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1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spans="1:24" ht="16.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1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spans="1:24" ht="16.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1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spans="1:24" ht="16.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1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 spans="1:24" ht="16.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1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 spans="1:24" ht="16.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1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 spans="1:24" ht="16.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1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 spans="1:24" ht="16.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1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 spans="1:24" ht="16.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1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spans="1:24" ht="16.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1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spans="1:24" ht="16.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1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 spans="1:24" ht="16.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1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 spans="1:24" ht="16.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1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 spans="1:24" ht="16.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1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 spans="1:24" ht="16.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1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 spans="1:24" ht="16.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1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 spans="1:24" ht="16.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1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 spans="1:24" ht="16.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1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 spans="1:24" ht="16.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1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 spans="1:24" ht="16.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1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 spans="1:24" ht="16.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1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 spans="1:24" ht="16.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1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 spans="1:24" ht="16.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1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 spans="1:24" ht="16.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1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 spans="1:24" ht="16.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1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 spans="1:24" ht="16.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1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 spans="1:24" ht="16.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1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 spans="1:24" ht="16.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1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 spans="1:24" ht="16.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1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 spans="1:24" ht="16.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1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 spans="1:24" ht="16.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1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 spans="1:24" ht="16.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1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 spans="1:24" ht="16.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1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6.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1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 spans="1:24" ht="16.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1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 spans="1:24" ht="16.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1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 spans="1:24" ht="16.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1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 spans="1:24" ht="16.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1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 spans="1:24" ht="16.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1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 spans="1:24" ht="16.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1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 spans="1:24" ht="16.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1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</sheetData>
  <mergeCells count="8">
    <mergeCell ref="J2:J3"/>
    <mergeCell ref="K2:K3"/>
    <mergeCell ref="A26:B26"/>
    <mergeCell ref="A1:I1"/>
    <mergeCell ref="A2:A3"/>
    <mergeCell ref="B2:B3"/>
    <mergeCell ref="G2:H2"/>
    <mergeCell ref="I2:I3"/>
  </mergeCells>
  <conditionalFormatting sqref="F1:F999">
    <cfRule type="cellIs" dxfId="3" priority="1" operator="greaterThanOrEqual">
      <formula>100000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0"/>
  <sheetViews>
    <sheetView workbookViewId="0">
      <selection sqref="A1:N1"/>
    </sheetView>
  </sheetViews>
  <sheetFormatPr defaultColWidth="11.25" defaultRowHeight="15.75" customHeight="1"/>
  <cols>
    <col min="1" max="1" width="4.5" customWidth="1"/>
    <col min="3" max="3" width="15.5" customWidth="1"/>
    <col min="4" max="4" width="19.25" customWidth="1"/>
    <col min="5" max="5" width="24.375" customWidth="1"/>
    <col min="6" max="6" width="15.375" customWidth="1"/>
    <col min="7" max="8" width="17.625" customWidth="1"/>
    <col min="9" max="9" width="20.25" customWidth="1"/>
    <col min="11" max="11" width="15.5" customWidth="1"/>
    <col min="12" max="12" width="25.5" customWidth="1"/>
    <col min="13" max="13" width="23.125" customWidth="1"/>
    <col min="14" max="14" width="16" customWidth="1"/>
  </cols>
  <sheetData>
    <row r="1" spans="1:29" ht="27.75" customHeight="1">
      <c r="A1" s="75" t="s">
        <v>101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ht="23.25">
      <c r="A2" s="76" t="s">
        <v>52</v>
      </c>
      <c r="B2" s="76" t="s">
        <v>53</v>
      </c>
      <c r="C2" s="40" t="s">
        <v>54</v>
      </c>
      <c r="D2" s="40" t="s">
        <v>55</v>
      </c>
      <c r="E2" s="40" t="s">
        <v>102</v>
      </c>
      <c r="F2" s="40" t="s">
        <v>56</v>
      </c>
      <c r="G2" s="40" t="s">
        <v>57</v>
      </c>
      <c r="H2" s="77" t="s">
        <v>58</v>
      </c>
      <c r="I2" s="64"/>
      <c r="J2" s="64"/>
      <c r="K2" s="65"/>
      <c r="L2" s="78" t="s">
        <v>59</v>
      </c>
      <c r="M2" s="78" t="s">
        <v>60</v>
      </c>
      <c r="N2" s="78" t="s">
        <v>61</v>
      </c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ht="23.25">
      <c r="A3" s="71"/>
      <c r="B3" s="71"/>
      <c r="C3" s="40" t="s">
        <v>62</v>
      </c>
      <c r="D3" s="40" t="s">
        <v>62</v>
      </c>
      <c r="E3" s="40" t="s">
        <v>62</v>
      </c>
      <c r="F3" s="40" t="s">
        <v>62</v>
      </c>
      <c r="G3" s="40" t="s">
        <v>62</v>
      </c>
      <c r="H3" s="40" t="s">
        <v>63</v>
      </c>
      <c r="I3" s="40" t="s">
        <v>103</v>
      </c>
      <c r="J3" s="40" t="s">
        <v>64</v>
      </c>
      <c r="K3" s="40" t="s">
        <v>104</v>
      </c>
      <c r="L3" s="71"/>
      <c r="M3" s="71"/>
      <c r="N3" s="71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29" ht="23.25">
      <c r="A4" s="8" t="e">
        <f t="array" aca="1" ref="A4:A25" ca="1">_xludf.SEQUENCE(22,1)</f>
        <v>#NAME?</v>
      </c>
      <c r="B4" s="41" t="s">
        <v>27</v>
      </c>
      <c r="C4" s="42">
        <v>4255198</v>
      </c>
      <c r="D4" s="1">
        <v>5022242.5</v>
      </c>
      <c r="E4" s="1">
        <f>'ต.ค.68'!D4+D4</f>
        <v>10070094.5</v>
      </c>
      <c r="F4" s="1">
        <v>3857751</v>
      </c>
      <c r="G4" s="1">
        <v>120023.73</v>
      </c>
      <c r="H4" s="1">
        <f t="shared" ref="H4:H25" si="0">D4-F4-G4</f>
        <v>1044467.77</v>
      </c>
      <c r="I4" s="1">
        <f>'ต.ค.68'!G4+H4</f>
        <v>2215270.9</v>
      </c>
      <c r="J4" s="1">
        <f t="shared" ref="J4:K4" si="1">(H4/D4)*100</f>
        <v>20.796840654349129</v>
      </c>
      <c r="K4" s="43">
        <f t="shared" si="1"/>
        <v>21.998511533332678</v>
      </c>
      <c r="L4" s="4"/>
      <c r="M4" s="4" t="s">
        <v>65</v>
      </c>
      <c r="N4" s="44" t="s">
        <v>66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 spans="1:29" ht="23.25">
      <c r="A5" s="8" t="e">
        <f ca="1"/>
        <v>#NAME?</v>
      </c>
      <c r="B5" s="41" t="s">
        <v>28</v>
      </c>
      <c r="C5" s="42">
        <v>6747187</v>
      </c>
      <c r="D5" s="1">
        <v>6276816.8399999999</v>
      </c>
      <c r="E5" s="1">
        <f>'ต.ค.68'!D5+D5</f>
        <v>12580163.300000001</v>
      </c>
      <c r="F5" s="1">
        <v>4637639</v>
      </c>
      <c r="G5" s="1">
        <v>385800</v>
      </c>
      <c r="H5" s="4">
        <f t="shared" si="0"/>
        <v>1253377.8399999999</v>
      </c>
      <c r="I5" s="1">
        <f>'ต.ค.68'!G5+H5</f>
        <v>2734093.17</v>
      </c>
      <c r="J5" s="4">
        <f t="shared" ref="J5:K5" si="2">(H5/D5)*100</f>
        <v>19.968367278341674</v>
      </c>
      <c r="K5" s="43">
        <f t="shared" si="2"/>
        <v>21.733367880844597</v>
      </c>
      <c r="L5" s="4"/>
      <c r="M5" s="4" t="s">
        <v>67</v>
      </c>
      <c r="N5" s="44" t="s">
        <v>105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 spans="1:29" ht="23.25">
      <c r="A6" s="8" t="e">
        <f ca="1"/>
        <v>#NAME?</v>
      </c>
      <c r="B6" s="41" t="s">
        <v>29</v>
      </c>
      <c r="C6" s="4">
        <v>2705831</v>
      </c>
      <c r="D6" s="4">
        <v>2055642.5</v>
      </c>
      <c r="E6" s="1">
        <f>'ต.ค.68'!D6+D6</f>
        <v>4008540</v>
      </c>
      <c r="F6" s="4">
        <v>1338640</v>
      </c>
      <c r="G6" s="4">
        <v>61580.85</v>
      </c>
      <c r="H6" s="4">
        <f t="shared" si="0"/>
        <v>655421.65</v>
      </c>
      <c r="I6" s="1">
        <f>'ต.ค.68'!G6+H6</f>
        <v>1255696.6600000001</v>
      </c>
      <c r="J6" s="4">
        <f t="shared" ref="J6:K6" si="3">(H6/D6)*100</f>
        <v>31.884028959315643</v>
      </c>
      <c r="K6" s="43">
        <f t="shared" si="3"/>
        <v>31.325536479616023</v>
      </c>
      <c r="L6" s="4"/>
      <c r="M6" s="4"/>
      <c r="N6" s="4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spans="1:29" ht="23.25">
      <c r="A7" s="8" t="e">
        <f ca="1"/>
        <v>#NAME?</v>
      </c>
      <c r="B7" s="41" t="s">
        <v>30</v>
      </c>
      <c r="C7" s="4">
        <v>3069972</v>
      </c>
      <c r="D7" s="4">
        <v>2347776</v>
      </c>
      <c r="E7" s="1">
        <f>'ต.ค.68'!D7+D7</f>
        <v>4724991</v>
      </c>
      <c r="F7" s="4">
        <v>1772574</v>
      </c>
      <c r="G7" s="4">
        <v>33346.68</v>
      </c>
      <c r="H7" s="4">
        <f t="shared" si="0"/>
        <v>541855.31999999995</v>
      </c>
      <c r="I7" s="1">
        <f>'ต.ค.68'!G7+H7</f>
        <v>1150810.3199999998</v>
      </c>
      <c r="J7" s="4">
        <f t="shared" ref="J7:K7" si="4">(H7/D7)*100</f>
        <v>23.079515251880927</v>
      </c>
      <c r="K7" s="43">
        <f t="shared" si="4"/>
        <v>24.355820360292746</v>
      </c>
      <c r="L7" s="4"/>
      <c r="M7" s="4" t="s">
        <v>69</v>
      </c>
      <c r="N7" s="44" t="s">
        <v>70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 spans="1:29" ht="23.25">
      <c r="A8" s="8" t="e">
        <f ca="1"/>
        <v>#NAME?</v>
      </c>
      <c r="B8" s="41" t="s">
        <v>31</v>
      </c>
      <c r="C8" s="4">
        <v>2381340</v>
      </c>
      <c r="D8" s="4">
        <v>2655239.9500000002</v>
      </c>
      <c r="E8" s="1">
        <f>'ต.ค.68'!D8+D8</f>
        <v>5288111.9700000007</v>
      </c>
      <c r="F8" s="4">
        <v>1542140</v>
      </c>
      <c r="G8" s="4">
        <v>185000</v>
      </c>
      <c r="H8" s="4">
        <f t="shared" si="0"/>
        <v>928099.95000000019</v>
      </c>
      <c r="I8" s="1">
        <f>'ต.ค.68'!G8+H8</f>
        <v>1862448.9700000002</v>
      </c>
      <c r="J8" s="4">
        <f t="shared" ref="J8:K8" si="5">(H8/D8)*100</f>
        <v>34.953524633432856</v>
      </c>
      <c r="K8" s="43">
        <f t="shared" si="5"/>
        <v>35.219544906875335</v>
      </c>
      <c r="L8" s="4"/>
      <c r="M8" s="4" t="s">
        <v>71</v>
      </c>
      <c r="N8" s="4">
        <v>643963619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ht="23.25">
      <c r="A9" s="8" t="e">
        <f ca="1"/>
        <v>#NAME?</v>
      </c>
      <c r="B9" s="41" t="s">
        <v>32</v>
      </c>
      <c r="C9" s="42">
        <v>2901150</v>
      </c>
      <c r="D9" s="42">
        <v>2784050</v>
      </c>
      <c r="E9" s="1">
        <f>'ต.ค.68'!D9+D9</f>
        <v>5620762</v>
      </c>
      <c r="F9" s="42">
        <v>2079189</v>
      </c>
      <c r="G9" s="42">
        <v>62946</v>
      </c>
      <c r="H9" s="4">
        <f t="shared" si="0"/>
        <v>641915</v>
      </c>
      <c r="I9" s="1">
        <f>'ต.ค.68'!G9+H9</f>
        <v>1447471</v>
      </c>
      <c r="J9" s="4">
        <f t="shared" ref="J9:K9" si="6">(H9/D9)*100</f>
        <v>23.056877570445934</v>
      </c>
      <c r="K9" s="43">
        <f t="shared" si="6"/>
        <v>25.752220072652072</v>
      </c>
      <c r="L9" s="4"/>
      <c r="M9" s="4" t="s">
        <v>72</v>
      </c>
      <c r="N9" s="44" t="s">
        <v>73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ht="23.25">
      <c r="A10" s="45" t="e">
        <f ca="1"/>
        <v>#NAME?</v>
      </c>
      <c r="B10" s="46" t="s">
        <v>33</v>
      </c>
      <c r="C10" s="47">
        <f>1036078.3</f>
        <v>1036078.3</v>
      </c>
      <c r="D10" s="47">
        <v>1026248</v>
      </c>
      <c r="E10" s="1">
        <f>'ต.ค.68'!D10+D10</f>
        <v>2081026</v>
      </c>
      <c r="F10" s="47">
        <f>856187+17543+93+15+436</f>
        <v>874274</v>
      </c>
      <c r="G10" s="47">
        <v>46790.45</v>
      </c>
      <c r="H10" s="12">
        <f t="shared" si="0"/>
        <v>105183.55</v>
      </c>
      <c r="I10" s="1">
        <f>'ต.ค.68'!G10+H10</f>
        <v>224633.55</v>
      </c>
      <c r="J10" s="12">
        <f t="shared" ref="J10:K10" si="7">(H10/D10)*100</f>
        <v>10.249330571167983</v>
      </c>
      <c r="K10" s="43">
        <f t="shared" si="7"/>
        <v>10.794365375540718</v>
      </c>
      <c r="L10" s="12"/>
      <c r="M10" s="12" t="s">
        <v>106</v>
      </c>
      <c r="N10" s="48" t="s">
        <v>107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ht="23.25">
      <c r="A11" s="8" t="e">
        <f ca="1"/>
        <v>#NAME?</v>
      </c>
      <c r="B11" s="41" t="s">
        <v>34</v>
      </c>
      <c r="C11" s="4">
        <v>1343913</v>
      </c>
      <c r="D11" s="4">
        <v>1316903</v>
      </c>
      <c r="E11" s="1">
        <f>'ต.ค.68'!D11+D11</f>
        <v>2669453</v>
      </c>
      <c r="F11" s="4">
        <v>1147465</v>
      </c>
      <c r="G11" s="4">
        <v>42985.3</v>
      </c>
      <c r="H11" s="4">
        <f t="shared" si="0"/>
        <v>126452.7</v>
      </c>
      <c r="I11" s="1">
        <f>'ต.ค.68'!G11+H11</f>
        <v>308442.68</v>
      </c>
      <c r="J11" s="4">
        <f t="shared" ref="J11:K11" si="8">(H11/D11)*100</f>
        <v>9.6022789833419768</v>
      </c>
      <c r="K11" s="43">
        <f t="shared" si="8"/>
        <v>11.554527463116976</v>
      </c>
      <c r="L11" s="4"/>
      <c r="M11" s="4" t="s">
        <v>76</v>
      </c>
      <c r="N11" s="44" t="s">
        <v>108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spans="1:29" ht="23.25">
      <c r="A12" s="8" t="e">
        <f ca="1"/>
        <v>#NAME?</v>
      </c>
      <c r="B12" s="41" t="s">
        <v>35</v>
      </c>
      <c r="C12" s="4">
        <v>3006713</v>
      </c>
      <c r="D12" s="4">
        <v>2717345</v>
      </c>
      <c r="E12" s="1">
        <f>'ต.ค.68'!D12+D12</f>
        <v>5541845</v>
      </c>
      <c r="F12" s="4">
        <v>1731577</v>
      </c>
      <c r="G12" s="4">
        <v>153500</v>
      </c>
      <c r="H12" s="4">
        <f t="shared" si="0"/>
        <v>832268</v>
      </c>
      <c r="I12" s="1">
        <f>'ต.ค.68'!G12+H12</f>
        <v>1749241</v>
      </c>
      <c r="J12" s="4">
        <f t="shared" ref="J12:K12" si="9">(H12/D12)*100</f>
        <v>30.627984300852486</v>
      </c>
      <c r="K12" s="43">
        <f t="shared" si="9"/>
        <v>31.564235376485627</v>
      </c>
      <c r="L12" s="4"/>
      <c r="M12" s="4" t="s">
        <v>78</v>
      </c>
      <c r="N12" s="49" t="s">
        <v>79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ht="23.25">
      <c r="A13" s="8" t="e">
        <f ca="1"/>
        <v>#NAME?</v>
      </c>
      <c r="B13" s="41" t="s">
        <v>36</v>
      </c>
      <c r="C13" s="4">
        <v>856948.5</v>
      </c>
      <c r="D13" s="4">
        <v>743506</v>
      </c>
      <c r="E13" s="1">
        <f>'ต.ค.68'!D13+D13</f>
        <v>1533686</v>
      </c>
      <c r="F13" s="4">
        <v>553810</v>
      </c>
      <c r="G13" s="4">
        <v>3573</v>
      </c>
      <c r="H13" s="4">
        <f t="shared" si="0"/>
        <v>186123</v>
      </c>
      <c r="I13" s="1">
        <f>'ต.ค.68'!G13+H13</f>
        <v>423352</v>
      </c>
      <c r="J13" s="4">
        <f t="shared" ref="J13:K13" si="10">(H13/D13)*100</f>
        <v>25.033153733796365</v>
      </c>
      <c r="K13" s="43">
        <f t="shared" si="10"/>
        <v>27.603564223706805</v>
      </c>
      <c r="L13" s="4"/>
      <c r="M13" s="4"/>
      <c r="N13" s="4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ht="23.25">
      <c r="A14" s="8" t="e">
        <f ca="1"/>
        <v>#NAME?</v>
      </c>
      <c r="B14" s="41" t="s">
        <v>37</v>
      </c>
      <c r="C14" s="4">
        <v>2087249</v>
      </c>
      <c r="D14" s="4">
        <v>1881047</v>
      </c>
      <c r="E14" s="1">
        <f>'ต.ค.68'!D14+D14</f>
        <v>3862498</v>
      </c>
      <c r="F14" s="4">
        <v>1625680</v>
      </c>
      <c r="G14" s="4">
        <v>86208</v>
      </c>
      <c r="H14" s="4">
        <f t="shared" si="0"/>
        <v>169159</v>
      </c>
      <c r="I14" s="1">
        <f>'ต.ค.68'!G14+H14</f>
        <v>487730</v>
      </c>
      <c r="J14" s="4">
        <f t="shared" ref="J14:K14" si="11">(H14/D14)*100</f>
        <v>8.9928109186001208</v>
      </c>
      <c r="K14" s="43">
        <f t="shared" si="11"/>
        <v>12.627320454275964</v>
      </c>
      <c r="L14" s="4"/>
      <c r="M14" s="4" t="s">
        <v>80</v>
      </c>
      <c r="N14" s="44" t="s">
        <v>81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spans="1:29" ht="23.25">
      <c r="A15" s="8" t="e">
        <f ca="1"/>
        <v>#NAME?</v>
      </c>
      <c r="B15" s="41" t="s">
        <v>38</v>
      </c>
      <c r="C15" s="4">
        <v>3467137</v>
      </c>
      <c r="D15" s="4">
        <v>3397842</v>
      </c>
      <c r="E15" s="1">
        <f>'ต.ค.68'!D15+D15</f>
        <v>6640816</v>
      </c>
      <c r="F15" s="4">
        <v>2347266</v>
      </c>
      <c r="G15" s="4">
        <v>124508</v>
      </c>
      <c r="H15" s="4">
        <f t="shared" si="0"/>
        <v>926068</v>
      </c>
      <c r="I15" s="1">
        <f>'ต.ค.68'!G15+H15</f>
        <v>1774804</v>
      </c>
      <c r="J15" s="4">
        <f t="shared" ref="J15:K15" si="12">(H15/D15)*100</f>
        <v>27.254592767998041</v>
      </c>
      <c r="K15" s="43">
        <f t="shared" si="12"/>
        <v>26.7256915415214</v>
      </c>
      <c r="L15" s="4"/>
      <c r="M15" s="4"/>
      <c r="N15" s="4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spans="1:29" ht="23.25">
      <c r="A16" s="8" t="e">
        <f ca="1"/>
        <v>#NAME?</v>
      </c>
      <c r="B16" s="41" t="s">
        <v>39</v>
      </c>
      <c r="C16" s="4">
        <v>1096965</v>
      </c>
      <c r="D16" s="4">
        <v>838937</v>
      </c>
      <c r="E16" s="1">
        <f>'ต.ค.68'!D16+D16</f>
        <v>1691386</v>
      </c>
      <c r="F16" s="4">
        <v>460127</v>
      </c>
      <c r="G16" s="4">
        <v>16226</v>
      </c>
      <c r="H16" s="4">
        <f t="shared" si="0"/>
        <v>362584</v>
      </c>
      <c r="I16" s="1">
        <f>'ต.ค.68'!G16+H16</f>
        <v>790585</v>
      </c>
      <c r="J16" s="4">
        <f t="shared" ref="J16:K16" si="13">(H16/D16)*100</f>
        <v>43.219455096151435</v>
      </c>
      <c r="K16" s="43">
        <f t="shared" si="13"/>
        <v>46.741843671403217</v>
      </c>
      <c r="L16" s="4"/>
      <c r="M16" s="4" t="s">
        <v>109</v>
      </c>
      <c r="N16" s="44" t="s">
        <v>110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ht="23.25">
      <c r="A17" s="8" t="e">
        <f ca="1"/>
        <v>#NAME?</v>
      </c>
      <c r="B17" s="41" t="s">
        <v>40</v>
      </c>
      <c r="C17" s="4">
        <v>2255045</v>
      </c>
      <c r="D17" s="4">
        <v>1950269</v>
      </c>
      <c r="E17" s="1">
        <f>'ต.ค.68'!D17+D17</f>
        <v>3962948</v>
      </c>
      <c r="F17" s="4">
        <v>1288496</v>
      </c>
      <c r="G17" s="4">
        <v>46274</v>
      </c>
      <c r="H17" s="4">
        <f t="shared" si="0"/>
        <v>615499</v>
      </c>
      <c r="I17" s="1">
        <f>'ต.ค.68'!G17+H17</f>
        <v>1288005</v>
      </c>
      <c r="J17" s="4">
        <f t="shared" ref="J17:K17" si="14">(H17/D17)*100</f>
        <v>31.559697662219932</v>
      </c>
      <c r="K17" s="43">
        <f t="shared" si="14"/>
        <v>32.501183462412328</v>
      </c>
      <c r="L17" s="4"/>
      <c r="M17" s="40" t="s">
        <v>85</v>
      </c>
      <c r="N17" s="4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ht="23.25">
      <c r="A18" s="8" t="e">
        <f ca="1"/>
        <v>#NAME?</v>
      </c>
      <c r="B18" s="41" t="s">
        <v>41</v>
      </c>
      <c r="C18" s="4">
        <v>553507.24</v>
      </c>
      <c r="D18" s="4">
        <v>539349</v>
      </c>
      <c r="E18" s="1">
        <f>'ต.ค.68'!D18+D18</f>
        <v>1116006</v>
      </c>
      <c r="F18" s="4">
        <v>252676</v>
      </c>
      <c r="G18" s="4">
        <v>5465.17</v>
      </c>
      <c r="H18" s="4">
        <f t="shared" si="0"/>
        <v>281207.83</v>
      </c>
      <c r="I18" s="1">
        <f>'ต.ค.68'!G18+H18</f>
        <v>612494.14</v>
      </c>
      <c r="J18" s="4">
        <f t="shared" ref="J18:K18" si="15">(H18/D18)*100</f>
        <v>52.138379787484546</v>
      </c>
      <c r="K18" s="43">
        <f t="shared" si="15"/>
        <v>54.882692386958496</v>
      </c>
      <c r="L18" s="4"/>
      <c r="M18" s="4" t="s">
        <v>87</v>
      </c>
      <c r="N18" s="4">
        <v>926658041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spans="1:29" ht="23.25">
      <c r="A19" s="8" t="e">
        <f ca="1"/>
        <v>#NAME?</v>
      </c>
      <c r="B19" s="41" t="s">
        <v>42</v>
      </c>
      <c r="C19" s="4">
        <v>1341821.3799999999</v>
      </c>
      <c r="D19" s="4">
        <v>1212576</v>
      </c>
      <c r="E19" s="1">
        <f>'ต.ค.68'!D19+D19</f>
        <v>2491745</v>
      </c>
      <c r="F19" s="4">
        <v>513946</v>
      </c>
      <c r="G19" s="4">
        <v>14055</v>
      </c>
      <c r="H19" s="4">
        <f t="shared" si="0"/>
        <v>684575</v>
      </c>
      <c r="I19" s="1">
        <f>'ต.ค.68'!G19+H19</f>
        <v>1472326</v>
      </c>
      <c r="J19" s="4">
        <f t="shared" ref="J19:K19" si="16">(H19/D19)*100</f>
        <v>56.456255113081575</v>
      </c>
      <c r="K19" s="43">
        <f t="shared" si="16"/>
        <v>59.088149068223274</v>
      </c>
      <c r="L19" s="4"/>
      <c r="M19" s="4"/>
      <c r="N19" s="4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spans="1:29" ht="23.25">
      <c r="A20" s="8" t="e">
        <f ca="1"/>
        <v>#NAME?</v>
      </c>
      <c r="B20" s="41" t="s">
        <v>43</v>
      </c>
      <c r="C20" s="4">
        <v>191109</v>
      </c>
      <c r="D20" s="4">
        <v>157947</v>
      </c>
      <c r="E20" s="1">
        <f>'ต.ค.68'!D20+D20</f>
        <v>311363</v>
      </c>
      <c r="F20" s="4">
        <v>68926</v>
      </c>
      <c r="G20" s="4">
        <v>48650</v>
      </c>
      <c r="H20" s="4">
        <f t="shared" si="0"/>
        <v>40371</v>
      </c>
      <c r="I20" s="1">
        <f>'ต.ค.68'!G20+H20</f>
        <v>130309</v>
      </c>
      <c r="J20" s="4">
        <f t="shared" ref="J20:K20" si="17">(H20/D20)*100</f>
        <v>25.559839693061598</v>
      </c>
      <c r="K20" s="43">
        <f t="shared" si="17"/>
        <v>41.851151228630243</v>
      </c>
      <c r="L20" s="4"/>
      <c r="M20" s="4"/>
      <c r="N20" s="4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spans="1:29" ht="23.25">
      <c r="A21" s="8" t="e">
        <f ca="1"/>
        <v>#NAME?</v>
      </c>
      <c r="B21" s="41" t="s">
        <v>44</v>
      </c>
      <c r="C21" s="4">
        <v>615687.30000000005</v>
      </c>
      <c r="D21" s="4">
        <v>551473.30000000005</v>
      </c>
      <c r="E21" s="1">
        <f>'ต.ค.68'!D21+D21</f>
        <v>1137795.17</v>
      </c>
      <c r="F21" s="4">
        <v>309338</v>
      </c>
      <c r="G21" s="4">
        <v>32151</v>
      </c>
      <c r="H21" s="4">
        <f t="shared" si="0"/>
        <v>209984.30000000005</v>
      </c>
      <c r="I21" s="1">
        <f>'ต.ค.68'!G21+H21</f>
        <v>460940.17000000004</v>
      </c>
      <c r="J21" s="4">
        <f t="shared" ref="J21:K21" si="18">(H21/D21)*100</f>
        <v>38.076965829533364</v>
      </c>
      <c r="K21" s="43">
        <f t="shared" si="18"/>
        <v>40.511700361674066</v>
      </c>
      <c r="L21" s="4"/>
      <c r="M21" s="4" t="s">
        <v>111</v>
      </c>
      <c r="N21" s="4">
        <v>629252914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spans="1:29" ht="23.25">
      <c r="A22" s="8" t="e">
        <f ca="1"/>
        <v>#NAME?</v>
      </c>
      <c r="B22" s="41" t="s">
        <v>45</v>
      </c>
      <c r="C22" s="4">
        <v>178777</v>
      </c>
      <c r="D22" s="4">
        <v>147923</v>
      </c>
      <c r="E22" s="1">
        <f>'ต.ค.68'!D22+D22</f>
        <v>302002</v>
      </c>
      <c r="F22" s="4">
        <v>110803</v>
      </c>
      <c r="G22" s="4">
        <v>9053.4699999999993</v>
      </c>
      <c r="H22" s="4">
        <f t="shared" si="0"/>
        <v>28066.53</v>
      </c>
      <c r="I22" s="1">
        <f>'ต.ค.68'!G22+H22</f>
        <v>66071.38</v>
      </c>
      <c r="J22" s="4">
        <f t="shared" ref="J22:K22" si="19">(H22/D22)*100</f>
        <v>18.973743096070255</v>
      </c>
      <c r="K22" s="43">
        <f t="shared" si="19"/>
        <v>21.877795511288006</v>
      </c>
      <c r="L22" s="4"/>
      <c r="M22" s="50" t="s">
        <v>94</v>
      </c>
      <c r="N22" s="51" t="s">
        <v>95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spans="1:29" ht="23.25">
      <c r="A23" s="8" t="e">
        <f ca="1"/>
        <v>#NAME?</v>
      </c>
      <c r="B23" s="41" t="s">
        <v>46</v>
      </c>
      <c r="C23" s="4">
        <v>662958</v>
      </c>
      <c r="D23" s="4">
        <v>592549</v>
      </c>
      <c r="E23" s="1">
        <f>'ต.ค.68'!D23+D23</f>
        <v>1227367</v>
      </c>
      <c r="F23" s="4">
        <v>346829</v>
      </c>
      <c r="G23" s="4">
        <v>8673</v>
      </c>
      <c r="H23" s="4">
        <f t="shared" si="0"/>
        <v>237047</v>
      </c>
      <c r="I23" s="1">
        <f>'ต.ค.68'!G23+H23</f>
        <v>487974</v>
      </c>
      <c r="J23" s="4">
        <f t="shared" ref="J23:K23" si="20">(H23/D23)*100</f>
        <v>40.004624090159638</v>
      </c>
      <c r="K23" s="43">
        <f t="shared" si="20"/>
        <v>39.757790457133034</v>
      </c>
      <c r="L23" s="4"/>
      <c r="M23" s="4"/>
      <c r="N23" s="4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ht="23.25">
      <c r="A24" s="8" t="e">
        <f ca="1"/>
        <v>#NAME?</v>
      </c>
      <c r="B24" s="41" t="s">
        <v>47</v>
      </c>
      <c r="C24" s="4">
        <v>1709778</v>
      </c>
      <c r="D24" s="4">
        <v>1615158</v>
      </c>
      <c r="E24" s="1">
        <f>'ต.ค.68'!D24+D24</f>
        <v>3262445</v>
      </c>
      <c r="F24" s="4">
        <v>801187</v>
      </c>
      <c r="G24" s="4">
        <v>16150</v>
      </c>
      <c r="H24" s="4">
        <f t="shared" si="0"/>
        <v>797821</v>
      </c>
      <c r="I24" s="1">
        <f>'ต.ค.68'!G24+H24</f>
        <v>1668633</v>
      </c>
      <c r="J24" s="4">
        <f t="shared" ref="J24:K24" si="21">(H24/D24)*100</f>
        <v>49.395848579519772</v>
      </c>
      <c r="K24" s="43">
        <f t="shared" si="21"/>
        <v>51.146701323700469</v>
      </c>
      <c r="L24" s="4"/>
      <c r="M24" s="4"/>
      <c r="N24" s="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ht="23.25">
      <c r="A25" s="8" t="e">
        <f ca="1"/>
        <v>#NAME?</v>
      </c>
      <c r="B25" s="41" t="s">
        <v>48</v>
      </c>
      <c r="C25" s="4">
        <v>555292</v>
      </c>
      <c r="D25" s="4">
        <v>539684</v>
      </c>
      <c r="E25" s="1">
        <f>'ต.ค.68'!D25+D25</f>
        <v>1083239</v>
      </c>
      <c r="F25" s="4">
        <v>310412</v>
      </c>
      <c r="G25" s="4">
        <v>60000</v>
      </c>
      <c r="H25" s="4">
        <f t="shared" si="0"/>
        <v>169272</v>
      </c>
      <c r="I25" s="1">
        <f>'ต.ค.68'!G25+H25</f>
        <v>357414</v>
      </c>
      <c r="J25" s="4">
        <f t="shared" ref="J25:K25" si="22">(H25/D25)*100</f>
        <v>31.365021012296086</v>
      </c>
      <c r="K25" s="43">
        <f t="shared" si="22"/>
        <v>32.994934635846754</v>
      </c>
      <c r="L25" s="4"/>
      <c r="M25" s="4" t="s">
        <v>98</v>
      </c>
      <c r="N25" s="44" t="s">
        <v>99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ht="23.25">
      <c r="A26" s="52">
        <v>23</v>
      </c>
      <c r="B26" s="53" t="s">
        <v>100</v>
      </c>
      <c r="C26" s="14">
        <f>SUM(C4:C25)</f>
        <v>43019656.719999999</v>
      </c>
      <c r="D26" s="14">
        <f>SUM(D4:D25)</f>
        <v>40370524.089999996</v>
      </c>
      <c r="E26" s="54">
        <f>'ต.ค.68'!D26+D26</f>
        <v>81208282.939999998</v>
      </c>
      <c r="F26" s="14">
        <f t="shared" ref="F26:H26" si="23">SUM(F4:F25)</f>
        <v>27970745</v>
      </c>
      <c r="G26" s="14">
        <f t="shared" si="23"/>
        <v>1562959.65</v>
      </c>
      <c r="H26" s="14">
        <f t="shared" si="23"/>
        <v>10836819.439999999</v>
      </c>
      <c r="I26" s="54">
        <f>'ต.ค.68'!G26+H26</f>
        <v>22968745.939999998</v>
      </c>
      <c r="J26" s="14">
        <f t="shared" ref="J26:K26" si="24">(H26/D26)*100</f>
        <v>26.843395482904668</v>
      </c>
      <c r="K26" s="14">
        <f t="shared" si="24"/>
        <v>28.283747800664923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ht="23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23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23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23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23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ht="23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ht="23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ht="23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ht="23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ht="23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ht="23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ht="23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ht="23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spans="1:29" ht="23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ht="23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ht="23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ht="23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ht="23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ht="23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ht="23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ht="23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ht="23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ht="23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ht="23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ht="23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ht="23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ht="23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ht="23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ht="23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ht="23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ht="23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ht="23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ht="23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ht="23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ht="23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ht="23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ht="23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ht="23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ht="23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spans="1:29" ht="23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ht="23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ht="23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ht="23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ht="23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ht="23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ht="23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ht="23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ht="23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ht="23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ht="23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ht="23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ht="23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ht="23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ht="23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ht="23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ht="23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ht="23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ht="23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ht="23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ht="23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ht="23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23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23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ht="23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ht="23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ht="23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ht="23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ht="23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spans="1:29" ht="23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ht="23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ht="23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29" ht="23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29" ht="23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ht="23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ht="23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29" ht="23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spans="1:29" ht="23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spans="1:29" ht="23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spans="1:29" ht="23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spans="1:29" ht="23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spans="1:29" ht="23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29" ht="23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spans="1:29" ht="23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spans="1:29" ht="23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spans="1:29" ht="23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spans="1:29" ht="23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spans="1:29" ht="23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spans="1:29" ht="23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spans="1:29" ht="23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spans="1:29" ht="23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spans="1:29" ht="23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spans="1:29" ht="23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spans="1:29" ht="23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spans="1:29" ht="23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spans="1:29" ht="23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spans="1:29" ht="23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spans="1:29" ht="23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spans="1:29" ht="23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spans="1:29" ht="23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spans="1:29" ht="23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spans="1:29" ht="23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spans="1:29" ht="23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spans="1:29" ht="23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spans="1:29" ht="23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spans="1:29" ht="23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spans="1:29" ht="23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spans="1:29" ht="23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spans="1:29" ht="23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spans="1:29" ht="23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spans="1:29" ht="23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spans="1:29" ht="23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spans="1:29" ht="23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spans="1:29" ht="23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spans="1:29" ht="23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spans="1:29" ht="23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spans="1:29" ht="23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spans="1:29" ht="23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spans="1:29" ht="23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spans="1:29" ht="23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spans="1:29" ht="23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spans="1:29" ht="23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spans="1:29" ht="23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spans="1:29" ht="23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spans="1:29" ht="23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spans="1:29" ht="23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spans="1:29" ht="23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 spans="1:29" ht="23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 spans="1:29" ht="23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 spans="1:29" ht="23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 spans="1:29" ht="23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spans="1:29" ht="23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 spans="1:29" ht="23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 spans="1:29" ht="23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 spans="1:29" ht="23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 spans="1:29" ht="23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 spans="1:29" ht="23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 spans="1:29" ht="23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 spans="1:29" ht="23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 spans="1:29" ht="23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 spans="1:29" ht="23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 spans="1:29" ht="23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 spans="1:29" ht="23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 spans="1:29" ht="23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 spans="1:29" ht="23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 spans="1:29" ht="23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 spans="1:29" ht="23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 spans="1:29" ht="23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 spans="1:29" ht="23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 spans="1:29" ht="23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 spans="1:29" ht="23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 spans="1:29" ht="23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 spans="1:29" ht="23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 spans="1:29" ht="23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 spans="1:29" ht="23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 spans="1:29" ht="23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 spans="1:29" ht="23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 spans="1:29" ht="23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 spans="1:29" ht="23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 spans="1:29" ht="23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 spans="1:29" ht="23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 spans="1:29" ht="23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 spans="1:29" ht="23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 spans="1:29" ht="23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 spans="1:29" ht="23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spans="1:29" ht="23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 spans="1:29" ht="23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 spans="1:29" ht="23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 spans="1:29" ht="23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 spans="1:29" ht="23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 spans="1:29" ht="23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 spans="1:29" ht="23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 spans="1:29" ht="23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 spans="1:29" ht="23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 spans="1:29" ht="23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 spans="1:29" ht="23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 spans="1:29" ht="23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 spans="1:29" ht="23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 spans="1:29" ht="23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 spans="1:29" ht="23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 spans="1:29" ht="23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 spans="1:29" ht="23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 spans="1:29" ht="23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 spans="1:29" ht="23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 spans="1:29" ht="23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 spans="1:29" ht="23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 spans="1:29" ht="23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 spans="1:29" ht="23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 spans="1:29" ht="23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 spans="1:29" ht="23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 spans="1:29" ht="23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 spans="1:29" ht="23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 spans="1:29" ht="23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 spans="1:29" ht="23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 spans="1:29" ht="23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 spans="1:29" ht="23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 spans="1:29" ht="23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 spans="1:29" ht="23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 spans="1:29" ht="23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 spans="1:29" ht="23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 spans="1:29" ht="23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 spans="1:29" ht="23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 spans="1:29" ht="23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 spans="1:29" ht="23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spans="1:29" ht="23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 spans="1:29" ht="23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 spans="1:29" ht="23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 spans="1:29" ht="23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 spans="1:29" ht="23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 spans="1:29" ht="23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 spans="1:29" ht="23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 spans="1:29" ht="23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 spans="1:29" ht="23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 spans="1:29" ht="23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 spans="1:29" ht="23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 spans="1:29" ht="23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 spans="1:29" ht="23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 spans="1:29" ht="23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 spans="1:29" ht="23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 spans="1:29" ht="23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 spans="1:29" ht="23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 spans="1:29" ht="23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 spans="1:29" ht="23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 spans="1:29" ht="23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 spans="1:29" ht="23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 spans="1:29" ht="23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 spans="1:29" ht="23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 spans="1:29" ht="23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 spans="1:29" ht="23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 spans="1:29" ht="23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 spans="1:29" ht="23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 spans="1:29" ht="23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 spans="1:29" ht="23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 spans="1:29" ht="23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 spans="1:29" ht="23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spans="1:29" ht="23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spans="1:29" ht="23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 spans="1:29" ht="23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 spans="1:29" ht="23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 spans="1:29" ht="23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 spans="1:29" ht="23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 spans="1:29" ht="23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 spans="1:29" ht="23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 spans="1:29" ht="23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 spans="1:29" ht="23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 spans="1:29" ht="23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 spans="1:29" ht="23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 spans="1:29" ht="23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 spans="1:29" ht="23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 spans="1:29" ht="23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 spans="1:29" ht="23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 spans="1:29" ht="23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 spans="1:29" ht="23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 spans="1:29" ht="23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 spans="1:29" ht="23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 spans="1:29" ht="23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 spans="1:29" ht="23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 spans="1:29" ht="23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 spans="1:29" ht="23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 spans="1:29" ht="23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 spans="1:29" ht="23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 spans="1:29" ht="23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 spans="1:29" ht="23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 spans="1:29" ht="23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 spans="1:29" ht="23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 spans="1:29" ht="23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 spans="1:29" ht="23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 spans="1:29" ht="23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 spans="1:29" ht="23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 spans="1:29" ht="23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 spans="1:29" ht="23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 spans="1:29" ht="23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 spans="1:29" ht="23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 spans="1:29" ht="23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spans="1:29" ht="23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 spans="1:29" ht="23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 spans="1:29" ht="23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 spans="1:29" ht="23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 spans="1:29" ht="23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 spans="1:29" ht="23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 spans="1:29" ht="23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 spans="1:29" ht="23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 spans="1:29" ht="23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 spans="1:29" ht="23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 spans="1:29" ht="23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 spans="1:29" ht="23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 spans="1:29" ht="23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 spans="1:29" ht="23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 spans="1:29" ht="23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 spans="1:29" ht="23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 spans="1:29" ht="23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 spans="1:29" ht="23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 spans="1:29" ht="23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 spans="1:29" ht="23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 spans="1:29" ht="23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 spans="1:29" ht="23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 spans="1:29" ht="23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 spans="1:29" ht="23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spans="1:29" ht="23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spans="1:29" ht="23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spans="1:29" ht="23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spans="1:29" ht="23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spans="1:29" ht="23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spans="1:29" ht="23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spans="1:29" ht="23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spans="1:29" ht="23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spans="1:29" ht="23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 spans="1:29" ht="23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 spans="1:29" ht="23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 spans="1:29" ht="23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 spans="1:29" ht="23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 spans="1:29" ht="23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 spans="1:29" ht="23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 spans="1:29" ht="23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 spans="1:29" ht="23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 spans="1:29" ht="23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 spans="1:29" ht="23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 spans="1:29" ht="23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 spans="1:29" ht="23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 spans="1:29" ht="23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 spans="1:29" ht="23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 spans="1:29" ht="23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 spans="1:29" ht="23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 spans="1:29" ht="23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 spans="1:29" ht="23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 spans="1:29" ht="23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 spans="1:29" ht="23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 spans="1:29" ht="23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 spans="1:29" ht="23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 spans="1:29" ht="23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 spans="1:29" ht="23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 spans="1:29" ht="23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 spans="1:29" ht="23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 spans="1:29" ht="23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 spans="1:29" ht="23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 spans="1:29" ht="23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 spans="1:29" ht="23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 spans="1:29" ht="23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 spans="1:29" ht="23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 spans="1:29" ht="23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 spans="1:29" ht="23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 spans="1:29" ht="23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 spans="1:29" ht="23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 spans="1:29" ht="23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 spans="1:29" ht="23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 spans="1:29" ht="23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 spans="1:29" ht="23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 spans="1:29" ht="23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 spans="1:29" ht="23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 spans="1:29" ht="23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 spans="1:29" ht="23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 spans="1:29" ht="23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 spans="1:29" ht="23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 spans="1:29" ht="23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 spans="1:29" ht="23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 spans="1:29" ht="23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 spans="1:29" ht="23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 spans="1:29" ht="23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 spans="1:29" ht="23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 spans="1:29" ht="23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 spans="1:29" ht="23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 spans="1:29" ht="23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 spans="1:29" ht="23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 spans="1:29" ht="23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 spans="1:29" ht="23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 spans="1:29" ht="23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 spans="1:29" ht="23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 spans="1:29" ht="23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 spans="1:29" ht="23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 spans="1:29" ht="23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 spans="1:29" ht="23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 spans="1:29" ht="23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 spans="1:29" ht="23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 spans="1:29" ht="23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 spans="1:29" ht="23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 spans="1:29" ht="23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 spans="1:29" ht="23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 spans="1:29" ht="23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 spans="1:29" ht="23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 spans="1:29" ht="23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 spans="1:29" ht="23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 spans="1:29" ht="23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 spans="1:29" ht="23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 spans="1:29" ht="23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 spans="1:29" ht="23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 spans="1:29" ht="23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 spans="1:29" ht="23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 spans="1:29" ht="23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 spans="1:29" ht="23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 spans="1:29" ht="23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 spans="1:29" ht="23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 spans="1:29" ht="23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 spans="1:29" ht="23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 spans="1:29" ht="23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 spans="1:29" ht="23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 spans="1:29" ht="23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 spans="1:29" ht="23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 spans="1:29" ht="23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 spans="1:29" ht="23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 spans="1:29" ht="23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 spans="1:29" ht="23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 spans="1:29" ht="23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 spans="1:29" ht="23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 spans="1:29" ht="23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 spans="1:29" ht="23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 spans="1:29" ht="23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 spans="1:29" ht="23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 spans="1:29" ht="23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 spans="1:29" ht="23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 spans="1:29" ht="23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 spans="1:29" ht="23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 spans="1:29" ht="23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 spans="1:29" ht="23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 spans="1:29" ht="23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 spans="1:29" ht="23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 spans="1:29" ht="23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 spans="1:29" ht="23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 spans="1:29" ht="23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 spans="1:29" ht="23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 spans="1:29" ht="23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spans="1:29" ht="23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 spans="1:29" ht="23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 spans="1:29" ht="23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 spans="1:29" ht="23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 spans="1:29" ht="23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 spans="1:29" ht="23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 spans="1:29" ht="23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 spans="1:29" ht="23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 spans="1:29" ht="23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 spans="1:29" ht="23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 spans="1:29" ht="23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 spans="1:29" ht="23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 spans="1:29" ht="23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 spans="1:29" ht="23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 spans="1:29" ht="23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 spans="1:29" ht="23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 spans="1:29" ht="23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 spans="1:29" ht="23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 spans="1:29" ht="23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 spans="1:29" ht="23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 spans="1:29" ht="23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 spans="1:29" ht="23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 spans="1:29" ht="23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 spans="1:29" ht="23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 spans="1:29" ht="23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 spans="1:29" ht="23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 spans="1:29" ht="23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 spans="1:29" ht="23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 spans="1:29" ht="23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 spans="1:29" ht="23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 spans="1:29" ht="23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 spans="1:29" ht="23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spans="1:29" ht="23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spans="1:29" ht="23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 spans="1:29" ht="23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 spans="1:29" ht="23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 spans="1:29" ht="23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 spans="1:29" ht="23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 spans="1:29" ht="23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 spans="1:29" ht="23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 spans="1:29" ht="23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 spans="1:29" ht="23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 spans="1:29" ht="23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 spans="1:29" ht="23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 spans="1:29" ht="23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 spans="1:29" ht="23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 spans="1:29" ht="23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 spans="1:29" ht="23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 spans="1:29" ht="23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 spans="1:29" ht="23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 spans="1:29" ht="23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 spans="1:29" ht="23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 spans="1:29" ht="23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 spans="1:29" ht="23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 spans="1:29" ht="23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 spans="1:29" ht="23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 spans="1:29" ht="23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 spans="1:29" ht="23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 spans="1:29" ht="23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 spans="1:29" ht="23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 spans="1:29" ht="23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 spans="1:29" ht="23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 spans="1:29" ht="23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 spans="1:29" ht="23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 spans="1:29" ht="23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 spans="1:29" ht="23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 spans="1:29" ht="23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 spans="1:29" ht="23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 spans="1:29" ht="23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 spans="1:29" ht="23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 spans="1:29" ht="23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 spans="1:29" ht="23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 spans="1:29" ht="23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 spans="1:29" ht="23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 spans="1:29" ht="23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 spans="1:29" ht="23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 spans="1:29" ht="23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 spans="1:29" ht="23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 spans="1:29" ht="23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 spans="1:29" ht="23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 spans="1:29" ht="23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 spans="1:29" ht="23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 spans="1:29" ht="23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 spans="1:29" ht="23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 spans="1:29" ht="23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 spans="1:29" ht="23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 spans="1:29" ht="23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 spans="1:29" ht="23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 spans="1:29" ht="23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 spans="1:29" ht="23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 spans="1:29" ht="23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 spans="1:29" ht="23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 spans="1:29" ht="23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 spans="1:29" ht="23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 spans="1:29" ht="23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 spans="1:29" ht="23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 spans="1:29" ht="23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 spans="1:29" ht="23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 spans="1:29" ht="23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 spans="1:29" ht="23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 spans="1:29" ht="23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 spans="1:29" ht="23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 spans="1:29" ht="23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 spans="1:29" ht="23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 spans="1:29" ht="23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 spans="1:29" ht="23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 spans="1:29" ht="23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 spans="1:29" ht="23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 spans="1:29" ht="23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 spans="1:29" ht="23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 spans="1:29" ht="23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 spans="1:29" ht="23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 spans="1:29" ht="23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 spans="1:29" ht="23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 spans="1:29" ht="23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 spans="1:29" ht="23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 spans="1:29" ht="23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spans="1:29" ht="23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spans="1:29" ht="23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spans="1:29" ht="23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spans="1:29" ht="23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spans="1:29" ht="23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spans="1:29" ht="23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spans="1:29" ht="23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spans="1:29" ht="23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spans="1:29" ht="23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spans="1:29" ht="23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spans="1:29" ht="23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spans="1:29" ht="23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spans="1:29" ht="23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spans="1:29" ht="23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spans="1:29" ht="23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spans="1:29" ht="23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spans="1:29" ht="23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spans="1:29" ht="23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spans="1:29" ht="23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spans="1:29" ht="23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spans="1:29" ht="23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spans="1:29" ht="23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spans="1:29" ht="23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spans="1:29" ht="23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spans="1:29" ht="23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spans="1:29" ht="23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spans="1:29" ht="23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spans="1:29" ht="23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spans="1:29" ht="23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spans="1:29" ht="23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spans="1:29" ht="23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spans="1:29" ht="23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spans="1:29" ht="23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spans="1:29" ht="23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spans="1:29" ht="23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spans="1:29" ht="23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spans="1:29" ht="23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spans="1:29" ht="23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spans="1:29" ht="23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spans="1:29" ht="23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spans="1:29" ht="23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spans="1:29" ht="23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spans="1:29" ht="23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spans="1:29" ht="23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spans="1:29" ht="23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spans="1:29" ht="23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spans="1:29" ht="23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spans="1:29" ht="23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spans="1:29" ht="23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spans="1:29" ht="23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spans="1:29" ht="23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spans="1:29" ht="23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spans="1:29" ht="23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spans="1:29" ht="23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spans="1:29" ht="23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spans="1:29" ht="23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spans="1:29" ht="23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spans="1:29" ht="23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spans="1:29" ht="23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spans="1:29" ht="23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spans="1:29" ht="23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spans="1:29" ht="23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spans="1:29" ht="23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spans="1:29" ht="23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spans="1:29" ht="23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spans="1:29" ht="23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spans="1:29" ht="23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spans="1:29" ht="23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spans="1:29" ht="23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spans="1:29" ht="23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spans="1:29" ht="23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spans="1:29" ht="23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spans="1:29" ht="23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spans="1:29" ht="23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spans="1:29" ht="23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spans="1:29" ht="23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spans="1:29" ht="23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spans="1:29" ht="23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spans="1:29" ht="23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spans="1:29" ht="23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spans="1:29" ht="23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spans="1:29" ht="23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spans="1:29" ht="23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spans="1:29" ht="23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spans="1:29" ht="23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spans="1:29" ht="23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spans="1:29" ht="23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spans="1:29" ht="23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spans="1:29" ht="23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spans="1:29" ht="23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spans="1:29" ht="23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spans="1:29" ht="23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spans="1:29" ht="23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spans="1:29" ht="23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spans="1:29" ht="23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spans="1:29" ht="23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spans="1:29" ht="23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spans="1:29" ht="23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spans="1:29" ht="23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spans="1:29" ht="23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spans="1:29" ht="23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spans="1:29" ht="23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spans="1:29" ht="23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spans="1:29" ht="23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spans="1:29" ht="23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spans="1:29" ht="23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spans="1:29" ht="23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spans="1:29" ht="23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spans="1:29" ht="23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spans="1:29" ht="23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spans="1:29" ht="23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spans="1:29" ht="23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spans="1:29" ht="23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spans="1:29" ht="23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spans="1:29" ht="23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spans="1:29" ht="23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spans="1:29" ht="23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spans="1:29" ht="23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spans="1:29" ht="23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spans="1:29" ht="23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spans="1:29" ht="23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spans="1:29" ht="23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spans="1:29" ht="23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spans="1:29" ht="23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spans="1:29" ht="23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spans="1:29" ht="23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spans="1:29" ht="23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spans="1:29" ht="23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spans="1:29" ht="23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spans="1:29" ht="23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spans="1:29" ht="23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spans="1:29" ht="23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spans="1:29" ht="23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spans="1:29" ht="23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spans="1:29" ht="23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spans="1:29" ht="23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spans="1:29" ht="23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spans="1:29" ht="23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spans="1:29" ht="23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spans="1:29" ht="23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spans="1:29" ht="23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spans="1:29" ht="23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spans="1:29" ht="23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spans="1:29" ht="23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spans="1:29" ht="23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spans="1:29" ht="23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spans="1:29" ht="23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spans="1:29" ht="23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spans="1:29" ht="23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spans="1:29" ht="23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spans="1:29" ht="23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spans="1:29" ht="23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spans="1:29" ht="23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spans="1:29" ht="23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spans="1:29" ht="23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spans="1:29" ht="23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spans="1:29" ht="23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spans="1:29" ht="23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spans="1:29" ht="23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spans="1:29" ht="23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spans="1:29" ht="23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spans="1:29" ht="23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spans="1:29" ht="23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spans="1:29" ht="23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spans="1:29" ht="23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spans="1:29" ht="23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spans="1:29" ht="23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spans="1:29" ht="23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spans="1:29" ht="23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spans="1:29" ht="23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spans="1:29" ht="23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spans="1:29" ht="23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spans="1:29" ht="23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spans="1:29" ht="23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spans="1:29" ht="23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spans="1:29" ht="23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spans="1:29" ht="23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spans="1:29" ht="23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spans="1:29" ht="23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spans="1:29" ht="23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spans="1:29" ht="23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spans="1:29" ht="23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spans="1:29" ht="23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spans="1:29" ht="23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spans="1:29" ht="23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spans="1:29" ht="23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spans="1:29" ht="23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spans="1:29" ht="23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spans="1:29" ht="23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spans="1:29" ht="23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spans="1:29" ht="23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spans="1:29" ht="23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spans="1:29" ht="23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spans="1:29" ht="23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spans="1:29" ht="23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spans="1:29" ht="23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spans="1:29" ht="23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spans="1:29" ht="23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spans="1:29" ht="23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spans="1:29" ht="23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spans="1:29" ht="23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spans="1:29" ht="23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spans="1:29" ht="23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spans="1:29" ht="23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spans="1:29" ht="23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spans="1:29" ht="23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spans="1:29" ht="23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spans="1:29" ht="23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spans="1:29" ht="23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spans="1:29" ht="23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spans="1:29" ht="23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spans="1:29" ht="23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spans="1:29" ht="23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spans="1:29" ht="23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spans="1:29" ht="23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spans="1:29" ht="23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spans="1:29" ht="23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spans="1:29" ht="23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spans="1:29" ht="23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spans="1:29" ht="23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spans="1:29" ht="23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spans="1:29" ht="23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spans="1:29" ht="23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spans="1:29" ht="23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spans="1:29" ht="23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spans="1:29" ht="23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spans="1:29" ht="23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spans="1:29" ht="23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spans="1:29" ht="23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spans="1:29" ht="23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spans="1:29" ht="23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spans="1:29" ht="23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spans="1:29" ht="23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spans="1:29" ht="23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spans="1:29" ht="23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spans="1:29" ht="23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spans="1:29" ht="23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spans="1:29" ht="23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spans="1:29" ht="23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spans="1:29" ht="23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spans="1:29" ht="23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spans="1:29" ht="23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spans="1:29" ht="23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spans="1:29" ht="23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spans="1:29" ht="23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spans="1:29" ht="23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spans="1:29" ht="23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spans="1:29" ht="23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spans="1:29" ht="23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spans="1:29" ht="23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spans="1:29" ht="23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spans="1:29" ht="23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spans="1:29" ht="23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spans="1:29" ht="23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spans="1:29" ht="23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spans="1:29" ht="23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spans="1:29" ht="23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spans="1:29" ht="23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spans="1:29" ht="23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spans="1:29" ht="23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spans="1:29" ht="23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spans="1:29" ht="23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spans="1:29" ht="23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spans="1:29" ht="23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spans="1:29" ht="23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spans="1:29" ht="23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spans="1:29" ht="23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spans="1:29" ht="23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spans="1:29" ht="23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spans="1:29" ht="23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spans="1:29" ht="23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spans="1:29" ht="23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spans="1:29" ht="23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spans="1:29" ht="23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spans="1:29" ht="23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spans="1:29" ht="23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spans="1:29" ht="23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spans="1:29" ht="23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spans="1:29" ht="23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spans="1:29" ht="23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spans="1:29" ht="23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spans="1:29" ht="23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spans="1:29" ht="23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spans="1:29" ht="23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spans="1:29" ht="23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spans="1:29" ht="23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spans="1:29" ht="23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spans="1:29" ht="23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spans="1:29" ht="23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spans="1:29" ht="23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spans="1:29" ht="23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spans="1:29" ht="23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spans="1:29" ht="23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spans="1:29" ht="23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spans="1:29" ht="23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spans="1:29" ht="23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spans="1:29" ht="23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spans="1:29" ht="23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spans="1:29" ht="23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spans="1:29" ht="23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spans="1:29" ht="23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spans="1:29" ht="23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spans="1:29" ht="23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spans="1:29" ht="23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spans="1:29" ht="23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spans="1:29" ht="23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spans="1:29" ht="23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spans="1:29" ht="23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spans="1:29" ht="23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spans="1:29" ht="23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spans="1:29" ht="23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spans="1:29" ht="23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spans="1:29" ht="23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spans="1:29" ht="23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spans="1:29" ht="23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spans="1:29" ht="23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spans="1:29" ht="23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spans="1:29" ht="23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spans="1:29" ht="23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spans="1:29" ht="23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spans="1:29" ht="23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spans="1:29" ht="23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spans="1:29" ht="23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spans="1:29" ht="23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spans="1:29" ht="23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spans="1:29" ht="23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spans="1:29" ht="23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spans="1:29" ht="23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spans="1:29" ht="23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spans="1:29" ht="23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spans="1:29" ht="23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spans="1:29" ht="23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spans="1:29" ht="23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spans="1:29" ht="23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spans="1:29" ht="23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spans="1:29" ht="23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spans="1:29" ht="23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spans="1:29" ht="23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spans="1:29" ht="23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spans="1:29" ht="23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spans="1:29" ht="23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spans="1:29" ht="23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spans="1:29" ht="23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spans="1:29" ht="23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spans="1:29" ht="23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spans="1:29" ht="23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spans="1:29" ht="23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spans="1:29" ht="23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spans="1:29" ht="23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spans="1:29" ht="23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spans="1:29" ht="23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spans="1:29" ht="23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spans="1:29" ht="23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spans="1:29" ht="23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spans="1:29" ht="23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spans="1:29" ht="23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spans="1:29" ht="23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spans="1:29" ht="23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spans="1:29" ht="23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spans="1:29" ht="23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spans="1:29" ht="23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spans="1:29" ht="23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spans="1:29" ht="23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spans="1:29" ht="23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spans="1:29" ht="23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spans="1:29" ht="23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spans="1:29" ht="23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spans="1:29" ht="23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spans="1:29" ht="23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spans="1:29" ht="23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spans="1:29" ht="23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spans="1:29" ht="23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spans="1:29" ht="23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spans="1:29" ht="23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spans="1:29" ht="23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spans="1:29" ht="23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spans="1:29" ht="23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spans="1:29" ht="23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spans="1:29" ht="23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spans="1:29" ht="23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spans="1:29" ht="23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spans="1:29" ht="23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spans="1:29" ht="23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spans="1:29" ht="23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spans="1:29" ht="23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spans="1:29" ht="23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spans="1:29" ht="23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spans="1:29" ht="23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spans="1:29" ht="23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spans="1:29" ht="23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spans="1:29" ht="23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spans="1:29" ht="23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spans="1:29" ht="23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spans="1:29" ht="23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spans="1:29" ht="23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spans="1:29" ht="23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spans="1:29" ht="23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spans="1:29" ht="23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spans="1:29" ht="23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spans="1:29" ht="23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spans="1:29" ht="23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spans="1:29" ht="23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spans="1:29" ht="23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 spans="1:29" ht="23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 spans="1:29" ht="23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 spans="1:29" ht="23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 spans="1:29" ht="23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 spans="1:29" ht="23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 spans="1:29" ht="23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 spans="1:29" ht="23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 spans="1:29" ht="23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 spans="1:29" ht="23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 spans="1:29" ht="23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 spans="1:29" ht="23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 spans="1:29" ht="23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 spans="1:29" ht="23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 spans="1:29" ht="23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 spans="1:29" ht="23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 spans="1:29" ht="23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 spans="1:29" ht="23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 spans="1:29" ht="23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 spans="1:29" ht="23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 spans="1:29" ht="23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 spans="1:29" ht="23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 spans="1:29" ht="23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 spans="1:29" ht="23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 spans="1:29" ht="23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 spans="1:29" ht="23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 spans="1:29" ht="23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 spans="1:29" ht="23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 spans="1:29" ht="23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 spans="1:29" ht="23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 spans="1:29" ht="23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 spans="1:29" ht="23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 spans="1:29" ht="23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 spans="1:29" ht="23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 spans="1:29" ht="23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 spans="1:29" ht="23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1:G1000">
    <cfRule type="cellIs" dxfId="2" priority="1" operator="greaterThan">
      <formula>100000</formula>
    </cfRule>
  </conditionalFormatting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1000"/>
  <sheetViews>
    <sheetView workbookViewId="0">
      <pane ySplit="3" topLeftCell="A4" activePane="bottomLeft" state="frozen"/>
      <selection pane="bottomLeft" activeCell="B5" sqref="B5"/>
    </sheetView>
  </sheetViews>
  <sheetFormatPr defaultColWidth="11.25" defaultRowHeight="15.75" customHeight="1"/>
  <cols>
    <col min="1" max="1" width="4.5" customWidth="1"/>
    <col min="3" max="3" width="15.5" customWidth="1"/>
    <col min="4" max="4" width="19.25" customWidth="1"/>
    <col min="5" max="5" width="24.375" customWidth="1"/>
    <col min="6" max="6" width="15.375" customWidth="1"/>
    <col min="7" max="8" width="17.625" customWidth="1"/>
    <col min="9" max="9" width="20.25" customWidth="1"/>
    <col min="11" max="11" width="15.5" customWidth="1"/>
    <col min="12" max="12" width="25.5" customWidth="1"/>
    <col min="13" max="13" width="23.125" customWidth="1"/>
    <col min="14" max="14" width="16" customWidth="1"/>
  </cols>
  <sheetData>
    <row r="1" spans="1:29" ht="27.75" customHeight="1">
      <c r="A1" s="75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ht="23.25">
      <c r="A2" s="76" t="s">
        <v>52</v>
      </c>
      <c r="B2" s="76" t="s">
        <v>53</v>
      </c>
      <c r="C2" s="40" t="s">
        <v>54</v>
      </c>
      <c r="D2" s="40" t="s">
        <v>55</v>
      </c>
      <c r="E2" s="40" t="s">
        <v>102</v>
      </c>
      <c r="F2" s="40" t="s">
        <v>56</v>
      </c>
      <c r="G2" s="40" t="s">
        <v>57</v>
      </c>
      <c r="H2" s="77" t="s">
        <v>58</v>
      </c>
      <c r="I2" s="64"/>
      <c r="J2" s="64"/>
      <c r="K2" s="65"/>
      <c r="L2" s="78" t="s">
        <v>59</v>
      </c>
      <c r="M2" s="78" t="s">
        <v>60</v>
      </c>
      <c r="N2" s="78" t="s">
        <v>61</v>
      </c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ht="23.25">
      <c r="A3" s="71"/>
      <c r="B3" s="71"/>
      <c r="C3" s="40" t="s">
        <v>62</v>
      </c>
      <c r="D3" s="40" t="s">
        <v>62</v>
      </c>
      <c r="E3" s="40" t="s">
        <v>62</v>
      </c>
      <c r="F3" s="40" t="s">
        <v>62</v>
      </c>
      <c r="G3" s="40" t="s">
        <v>62</v>
      </c>
      <c r="H3" s="40" t="s">
        <v>63</v>
      </c>
      <c r="I3" s="40" t="s">
        <v>103</v>
      </c>
      <c r="J3" s="40" t="s">
        <v>64</v>
      </c>
      <c r="K3" s="40" t="s">
        <v>104</v>
      </c>
      <c r="L3" s="71"/>
      <c r="M3" s="71"/>
      <c r="N3" s="71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29" ht="23.25">
      <c r="A4" s="8" t="e">
        <f t="array" aca="1" ref="A4:A25" ca="1">_xludf.SEQUENCE(22,1)</f>
        <v>#NAME?</v>
      </c>
      <c r="B4" s="41" t="s">
        <v>27</v>
      </c>
      <c r="C4" s="42">
        <v>4387421.25</v>
      </c>
      <c r="D4" s="1">
        <v>5275087.5</v>
      </c>
      <c r="E4" s="1">
        <f>'พ.ย. 68'!E4+D4</f>
        <v>15345182</v>
      </c>
      <c r="F4" s="1">
        <v>4075759</v>
      </c>
      <c r="G4" s="1">
        <v>126353.68</v>
      </c>
      <c r="H4" s="1">
        <f t="shared" ref="H4:H25" si="0">D4-F4-G4</f>
        <v>1072974.82</v>
      </c>
      <c r="I4" s="1">
        <f>'พ.ย. 68'!I4+H4</f>
        <v>3288245.7199999997</v>
      </c>
      <c r="J4" s="1">
        <f t="shared" ref="J4:K4" si="1">(H4/D4)*100</f>
        <v>20.340417481226616</v>
      </c>
      <c r="K4" s="43">
        <f t="shared" si="1"/>
        <v>21.428522125055277</v>
      </c>
      <c r="L4" s="4"/>
      <c r="M4" s="44" t="s">
        <v>65</v>
      </c>
      <c r="N4" s="44" t="s">
        <v>66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 spans="1:29" ht="23.25">
      <c r="A5" s="8" t="e">
        <f ca="1"/>
        <v>#NAME?</v>
      </c>
      <c r="B5" s="41" t="s">
        <v>28</v>
      </c>
      <c r="C5" s="42">
        <v>7409047</v>
      </c>
      <c r="D5" s="1">
        <v>6463930.04</v>
      </c>
      <c r="E5" s="1">
        <f>'พ.ย. 68'!E5+D5</f>
        <v>19044093.34</v>
      </c>
      <c r="F5" s="1">
        <v>4699231</v>
      </c>
      <c r="G5" s="1">
        <v>320237.38</v>
      </c>
      <c r="H5" s="4">
        <f t="shared" si="0"/>
        <v>1444461.6600000001</v>
      </c>
      <c r="I5" s="1">
        <f>'พ.ย. 68'!I5+H5</f>
        <v>4178554.83</v>
      </c>
      <c r="J5" s="4">
        <f t="shared" ref="J5:K5" si="2">(H5/D5)*100</f>
        <v>22.346492784751739</v>
      </c>
      <c r="K5" s="43">
        <f t="shared" si="2"/>
        <v>21.941474216697994</v>
      </c>
      <c r="L5" s="4"/>
      <c r="M5" s="44" t="s">
        <v>67</v>
      </c>
      <c r="N5" s="44" t="s">
        <v>105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 spans="1:29" ht="23.25">
      <c r="A6" s="8" t="e">
        <f ca="1"/>
        <v>#NAME?</v>
      </c>
      <c r="B6" s="41" t="s">
        <v>29</v>
      </c>
      <c r="C6" s="4">
        <v>2262929.73</v>
      </c>
      <c r="D6" s="4">
        <v>2144191.5</v>
      </c>
      <c r="E6" s="1">
        <f>'พ.ย. 68'!E6+D6</f>
        <v>6152731.5</v>
      </c>
      <c r="F6" s="4">
        <v>1309243</v>
      </c>
      <c r="G6" s="4">
        <v>81241.600000000006</v>
      </c>
      <c r="H6" s="4">
        <f t="shared" si="0"/>
        <v>753706.9</v>
      </c>
      <c r="I6" s="1">
        <f>'พ.ย. 68'!I6+H6</f>
        <v>2009403.56</v>
      </c>
      <c r="J6" s="4">
        <f t="shared" ref="J6:K6" si="3">(H6/D6)*100</f>
        <v>35.151100076648937</v>
      </c>
      <c r="K6" s="43">
        <f t="shared" si="3"/>
        <v>32.658723365386578</v>
      </c>
      <c r="L6" s="4"/>
      <c r="M6" s="44"/>
      <c r="N6" s="4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spans="1:29" ht="23.25">
      <c r="A7" s="8" t="e">
        <f ca="1"/>
        <v>#NAME?</v>
      </c>
      <c r="B7" s="41" t="s">
        <v>30</v>
      </c>
      <c r="C7" s="4">
        <v>3177550</v>
      </c>
      <c r="D7" s="4">
        <v>2323195</v>
      </c>
      <c r="E7" s="1">
        <f>'พ.ย. 68'!E7+D7</f>
        <v>7048186</v>
      </c>
      <c r="F7" s="4">
        <v>1711020</v>
      </c>
      <c r="G7" s="4">
        <v>53809</v>
      </c>
      <c r="H7" s="4">
        <f t="shared" si="0"/>
        <v>558366</v>
      </c>
      <c r="I7" s="1">
        <f>'พ.ย. 68'!I7+H7</f>
        <v>1709176.3199999998</v>
      </c>
      <c r="J7" s="4">
        <f t="shared" ref="J7:K7" si="4">(H7/D7)*100</f>
        <v>24.03440090048403</v>
      </c>
      <c r="K7" s="43">
        <f t="shared" si="4"/>
        <v>24.249875357999915</v>
      </c>
      <c r="L7" s="4"/>
      <c r="M7" s="44" t="s">
        <v>69</v>
      </c>
      <c r="N7" s="44" t="s">
        <v>70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 spans="1:29" ht="23.25">
      <c r="A8" s="8" t="e">
        <f ca="1"/>
        <v>#NAME?</v>
      </c>
      <c r="B8" s="41" t="s">
        <v>31</v>
      </c>
      <c r="C8" s="4">
        <v>2620626</v>
      </c>
      <c r="D8" s="55">
        <v>2807298.67</v>
      </c>
      <c r="E8" s="1">
        <f>'พ.ย. 68'!E8+D8</f>
        <v>8095410.6400000006</v>
      </c>
      <c r="F8" s="56">
        <v>1534886</v>
      </c>
      <c r="G8" s="4">
        <v>215000</v>
      </c>
      <c r="H8" s="4">
        <f t="shared" si="0"/>
        <v>1057412.67</v>
      </c>
      <c r="I8" s="1">
        <f>'พ.ย. 68'!I8+H8</f>
        <v>2919861.64</v>
      </c>
      <c r="J8" s="4">
        <f t="shared" ref="J8:K8" si="5">(H8/D8)*100</f>
        <v>37.666554018635999</v>
      </c>
      <c r="K8" s="43">
        <f t="shared" si="5"/>
        <v>36.068110313919789</v>
      </c>
      <c r="L8" s="4"/>
      <c r="M8" s="44" t="s">
        <v>71</v>
      </c>
      <c r="N8" s="44" t="s">
        <v>112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ht="23.25">
      <c r="A9" s="8" t="e">
        <f ca="1"/>
        <v>#NAME?</v>
      </c>
      <c r="B9" s="41" t="s">
        <v>32</v>
      </c>
      <c r="C9" s="42">
        <v>2918760</v>
      </c>
      <c r="D9" s="42">
        <v>2880735</v>
      </c>
      <c r="E9" s="1">
        <f>'พ.ย. 68'!E9+D9</f>
        <v>8501497</v>
      </c>
      <c r="F9" s="42">
        <v>1990782</v>
      </c>
      <c r="G9" s="42">
        <v>63598</v>
      </c>
      <c r="H9" s="4">
        <f t="shared" si="0"/>
        <v>826355</v>
      </c>
      <c r="I9" s="1">
        <f>'พ.ย. 68'!I9+H9</f>
        <v>2273826</v>
      </c>
      <c r="J9" s="4">
        <f t="shared" ref="J9:K9" si="6">(H9/D9)*100</f>
        <v>28.685561150192573</v>
      </c>
      <c r="K9" s="43">
        <f t="shared" si="6"/>
        <v>26.746183642716097</v>
      </c>
      <c r="L9" s="4"/>
      <c r="M9" s="44" t="s">
        <v>72</v>
      </c>
      <c r="N9" s="44" t="s">
        <v>73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ht="23.25">
      <c r="A10" s="45" t="e">
        <f ca="1"/>
        <v>#NAME?</v>
      </c>
      <c r="B10" s="46" t="s">
        <v>33</v>
      </c>
      <c r="C10" s="47">
        <v>1081108.3</v>
      </c>
      <c r="D10" s="47">
        <v>1071268</v>
      </c>
      <c r="E10" s="1">
        <f>'พ.ย. 68'!E10+D10</f>
        <v>3152294</v>
      </c>
      <c r="F10" s="47">
        <f>951200+349</f>
        <v>951549</v>
      </c>
      <c r="G10" s="47">
        <v>49525</v>
      </c>
      <c r="H10" s="12">
        <f t="shared" si="0"/>
        <v>70194</v>
      </c>
      <c r="I10" s="1">
        <f>'พ.ย. 68'!I10+H10</f>
        <v>294827.55</v>
      </c>
      <c r="J10" s="12">
        <f t="shared" ref="J10:K10" si="7">(H10/D10)*100</f>
        <v>6.5524219896421805</v>
      </c>
      <c r="K10" s="43">
        <f t="shared" si="7"/>
        <v>9.3527935528856112</v>
      </c>
      <c r="L10" s="12"/>
      <c r="M10" s="48" t="s">
        <v>74</v>
      </c>
      <c r="N10" s="48" t="s">
        <v>107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ht="23.25">
      <c r="A11" s="8" t="e">
        <f ca="1"/>
        <v>#NAME?</v>
      </c>
      <c r="B11" s="41" t="s">
        <v>34</v>
      </c>
      <c r="C11" s="4">
        <v>1378190</v>
      </c>
      <c r="D11" s="4">
        <v>1367912</v>
      </c>
      <c r="E11" s="1">
        <f>'พ.ย. 68'!E11+D11</f>
        <v>4037365</v>
      </c>
      <c r="F11" s="4">
        <v>1148946</v>
      </c>
      <c r="G11" s="4">
        <v>43239.85</v>
      </c>
      <c r="H11" s="4">
        <f t="shared" si="0"/>
        <v>175726.15</v>
      </c>
      <c r="I11" s="1">
        <f>'พ.ย. 68'!I11+H11</f>
        <v>484168.82999999996</v>
      </c>
      <c r="J11" s="4">
        <f t="shared" ref="J11:K11" si="8">(H11/D11)*100</f>
        <v>12.846305171677711</v>
      </c>
      <c r="K11" s="43">
        <f t="shared" si="8"/>
        <v>11.992198624597973</v>
      </c>
      <c r="L11" s="4"/>
      <c r="M11" s="44" t="s">
        <v>76</v>
      </c>
      <c r="N11" s="44" t="s">
        <v>108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spans="1:29" ht="23.25">
      <c r="A12" s="8" t="e">
        <f ca="1"/>
        <v>#NAME?</v>
      </c>
      <c r="B12" s="41" t="s">
        <v>35</v>
      </c>
      <c r="C12" s="4">
        <v>3215311</v>
      </c>
      <c r="D12" s="4">
        <v>2858526</v>
      </c>
      <c r="E12" s="1">
        <f>'พ.ย. 68'!E12+D12</f>
        <v>8400371</v>
      </c>
      <c r="F12" s="4">
        <v>1788793</v>
      </c>
      <c r="G12" s="4">
        <v>198800</v>
      </c>
      <c r="H12" s="4">
        <f t="shared" si="0"/>
        <v>870933</v>
      </c>
      <c r="I12" s="1">
        <f>'พ.ย. 68'!I12+H12</f>
        <v>2620174</v>
      </c>
      <c r="J12" s="4">
        <f t="shared" ref="J12:K12" si="9">(H12/D12)*100</f>
        <v>30.467905486953768</v>
      </c>
      <c r="K12" s="43">
        <f t="shared" si="9"/>
        <v>31.191170009038888</v>
      </c>
      <c r="L12" s="4"/>
      <c r="M12" s="44" t="s">
        <v>78</v>
      </c>
      <c r="N12" s="49" t="s">
        <v>79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ht="23.25">
      <c r="A13" s="8" t="e">
        <f ca="1"/>
        <v>#NAME?</v>
      </c>
      <c r="B13" s="41" t="s">
        <v>36</v>
      </c>
      <c r="C13" s="4">
        <v>1054251.3</v>
      </c>
      <c r="D13" s="4">
        <v>897097</v>
      </c>
      <c r="E13" s="1">
        <f>'พ.ย. 68'!E13+D13</f>
        <v>2430783</v>
      </c>
      <c r="F13" s="4">
        <v>554946</v>
      </c>
      <c r="G13" s="4">
        <v>78674.2</v>
      </c>
      <c r="H13" s="4">
        <f t="shared" si="0"/>
        <v>263476.8</v>
      </c>
      <c r="I13" s="1">
        <f>'พ.ย. 68'!I13+H13</f>
        <v>686828.8</v>
      </c>
      <c r="J13" s="4">
        <f t="shared" ref="J13:K13" si="10">(H13/D13)*100</f>
        <v>29.369934354924826</v>
      </c>
      <c r="K13" s="43">
        <f t="shared" si="10"/>
        <v>28.255455135238318</v>
      </c>
      <c r="L13" s="4"/>
      <c r="M13" s="44"/>
      <c r="N13" s="4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ht="23.25">
      <c r="A14" s="8" t="e">
        <f ca="1"/>
        <v>#NAME?</v>
      </c>
      <c r="B14" s="41" t="s">
        <v>37</v>
      </c>
      <c r="C14" s="4">
        <v>2162587</v>
      </c>
      <c r="D14" s="4">
        <v>1968890</v>
      </c>
      <c r="E14" s="1">
        <f>'พ.ย. 68'!E14+D14</f>
        <v>5831388</v>
      </c>
      <c r="F14" s="4">
        <v>1605048</v>
      </c>
      <c r="G14" s="4">
        <v>86211</v>
      </c>
      <c r="H14" s="4">
        <f t="shared" si="0"/>
        <v>277631</v>
      </c>
      <c r="I14" s="1">
        <f>'พ.ย. 68'!I14+H14</f>
        <v>765361</v>
      </c>
      <c r="J14" s="4">
        <f t="shared" ref="J14:K14" si="11">(H14/D14)*100</f>
        <v>14.100889333583897</v>
      </c>
      <c r="K14" s="43">
        <f t="shared" si="11"/>
        <v>13.124851236103652</v>
      </c>
      <c r="L14" s="4"/>
      <c r="M14" s="44" t="s">
        <v>80</v>
      </c>
      <c r="N14" s="44" t="s">
        <v>81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spans="1:29" ht="23.25">
      <c r="A15" s="8" t="e">
        <f ca="1"/>
        <v>#NAME?</v>
      </c>
      <c r="B15" s="41" t="s">
        <v>38</v>
      </c>
      <c r="C15" s="4">
        <v>3657519</v>
      </c>
      <c r="D15" s="4">
        <v>3451851</v>
      </c>
      <c r="E15" s="1">
        <f>'พ.ย. 68'!E15+D15</f>
        <v>10092667</v>
      </c>
      <c r="F15" s="4">
        <v>2348722</v>
      </c>
      <c r="G15" s="4">
        <v>126329</v>
      </c>
      <c r="H15" s="4">
        <f t="shared" si="0"/>
        <v>976800</v>
      </c>
      <c r="I15" s="1">
        <f>'พ.ย. 68'!I15+H15</f>
        <v>2751604</v>
      </c>
      <c r="J15" s="4">
        <f t="shared" ref="J15:K15" si="12">(H15/D15)*100</f>
        <v>28.297861060630947</v>
      </c>
      <c r="K15" s="43">
        <f t="shared" si="12"/>
        <v>27.263398267276628</v>
      </c>
      <c r="L15" s="4"/>
      <c r="M15" s="44"/>
      <c r="N15" s="4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spans="1:29" ht="23.25">
      <c r="A16" s="8" t="e">
        <f ca="1"/>
        <v>#NAME?</v>
      </c>
      <c r="B16" s="41" t="s">
        <v>39</v>
      </c>
      <c r="C16" s="4">
        <v>1121588</v>
      </c>
      <c r="D16" s="4">
        <v>859679</v>
      </c>
      <c r="E16" s="1">
        <f>'พ.ย. 68'!E16+D16</f>
        <v>2551065</v>
      </c>
      <c r="F16" s="4">
        <v>520776</v>
      </c>
      <c r="G16" s="4">
        <v>18742</v>
      </c>
      <c r="H16" s="4">
        <f t="shared" si="0"/>
        <v>320161</v>
      </c>
      <c r="I16" s="1">
        <f>'พ.ย. 68'!I16+H16</f>
        <v>1110746</v>
      </c>
      <c r="J16" s="4">
        <f t="shared" ref="J16:K16" si="13">(H16/D16)*100</f>
        <v>37.241924020477413</v>
      </c>
      <c r="K16" s="43">
        <f t="shared" si="13"/>
        <v>43.540482112372672</v>
      </c>
      <c r="L16" s="4"/>
      <c r="M16" s="44" t="s">
        <v>109</v>
      </c>
      <c r="N16" s="44" t="s">
        <v>110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ht="23.25">
      <c r="A17" s="8" t="e">
        <f ca="1"/>
        <v>#NAME?</v>
      </c>
      <c r="B17" s="41" t="s">
        <v>40</v>
      </c>
      <c r="C17" s="4">
        <v>2258036</v>
      </c>
      <c r="D17" s="4">
        <v>2027019.11</v>
      </c>
      <c r="E17" s="1">
        <f>'พ.ย. 68'!E17+D17</f>
        <v>5989967.1100000003</v>
      </c>
      <c r="F17" s="4">
        <v>1317325</v>
      </c>
      <c r="G17" s="4">
        <v>52178</v>
      </c>
      <c r="H17" s="4">
        <f t="shared" si="0"/>
        <v>657516.1100000001</v>
      </c>
      <c r="I17" s="1">
        <f>'พ.ย. 68'!I17+H17</f>
        <v>1945521.11</v>
      </c>
      <c r="J17" s="4">
        <f t="shared" ref="J17:K17" si="14">(H17/D17)*100</f>
        <v>32.437588119235841</v>
      </c>
      <c r="K17" s="43">
        <f t="shared" si="14"/>
        <v>32.4796626470959</v>
      </c>
      <c r="L17" s="4"/>
      <c r="M17" s="44" t="s">
        <v>85</v>
      </c>
      <c r="N17" s="57" t="s">
        <v>113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ht="24">
      <c r="A18" s="8" t="e">
        <f ca="1"/>
        <v>#NAME?</v>
      </c>
      <c r="B18" s="41" t="s">
        <v>41</v>
      </c>
      <c r="C18" s="58">
        <v>599869.53</v>
      </c>
      <c r="D18" s="58">
        <v>576495</v>
      </c>
      <c r="E18" s="1">
        <f>'พ.ย. 68'!E18+D18</f>
        <v>1692501</v>
      </c>
      <c r="F18" s="58">
        <v>245566</v>
      </c>
      <c r="G18" s="58">
        <v>11940.34</v>
      </c>
      <c r="H18" s="4">
        <f t="shared" si="0"/>
        <v>318988.65999999997</v>
      </c>
      <c r="I18" s="1">
        <f>'พ.ย. 68'!I18+H18</f>
        <v>931482.8</v>
      </c>
      <c r="J18" s="4">
        <f t="shared" ref="J18:K18" si="15">(H18/D18)*100</f>
        <v>55.332424392232362</v>
      </c>
      <c r="K18" s="43">
        <f t="shared" si="15"/>
        <v>55.03587885620157</v>
      </c>
      <c r="L18" s="4"/>
      <c r="M18" s="44" t="s">
        <v>87</v>
      </c>
      <c r="N18" s="4">
        <v>926658041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spans="1:29" ht="23.25">
      <c r="A19" s="8" t="e">
        <f ca="1"/>
        <v>#NAME?</v>
      </c>
      <c r="B19" s="41" t="s">
        <v>42</v>
      </c>
      <c r="C19" s="4">
        <v>1684251.38</v>
      </c>
      <c r="D19" s="4">
        <v>1310248.47</v>
      </c>
      <c r="E19" s="1">
        <f>'พ.ย. 68'!E19+D19</f>
        <v>3801993.4699999997</v>
      </c>
      <c r="F19" s="4">
        <v>501822</v>
      </c>
      <c r="G19" s="4">
        <v>767</v>
      </c>
      <c r="H19" s="4">
        <f t="shared" si="0"/>
        <v>807659.47</v>
      </c>
      <c r="I19" s="1">
        <f>'พ.ย. 68'!I19+H19</f>
        <v>2279985.4699999997</v>
      </c>
      <c r="J19" s="4">
        <f t="shared" ref="J19:K19" si="16">(H19/D19)*100</f>
        <v>61.641702966461011</v>
      </c>
      <c r="K19" s="43">
        <f t="shared" si="16"/>
        <v>59.968158493444221</v>
      </c>
      <c r="L19" s="4"/>
      <c r="M19" s="44" t="s">
        <v>114</v>
      </c>
      <c r="N19" s="59">
        <v>970059909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spans="1:29" ht="23.25">
      <c r="A20" s="8" t="e">
        <f ca="1"/>
        <v>#NAME?</v>
      </c>
      <c r="B20" s="41" t="s">
        <v>43</v>
      </c>
      <c r="C20" s="4">
        <v>185522</v>
      </c>
      <c r="D20" s="4">
        <v>157947</v>
      </c>
      <c r="E20" s="1">
        <f>'พ.ย. 68'!E20+D20</f>
        <v>469310</v>
      </c>
      <c r="F20" s="4">
        <v>70145</v>
      </c>
      <c r="G20" s="4">
        <v>1833.84</v>
      </c>
      <c r="H20" s="4">
        <f t="shared" si="0"/>
        <v>85968.16</v>
      </c>
      <c r="I20" s="1">
        <f>'พ.ย. 68'!I20+H20</f>
        <v>216277.16</v>
      </c>
      <c r="J20" s="4">
        <f t="shared" ref="J20:K20" si="17">(H20/D20)*100</f>
        <v>54.428485504631311</v>
      </c>
      <c r="K20" s="43">
        <f t="shared" si="17"/>
        <v>46.084072361552067</v>
      </c>
      <c r="L20" s="4"/>
      <c r="M20" s="44" t="s">
        <v>115</v>
      </c>
      <c r="N20" s="4" t="s">
        <v>116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spans="1:29" ht="23.25">
      <c r="A21" s="8" t="e">
        <f ca="1"/>
        <v>#NAME?</v>
      </c>
      <c r="B21" s="41" t="s">
        <v>44</v>
      </c>
      <c r="C21" s="4">
        <v>693576.4</v>
      </c>
      <c r="D21" s="4">
        <v>605800.4</v>
      </c>
      <c r="E21" s="1">
        <f>'พ.ย. 68'!E21+D21</f>
        <v>1743595.5699999998</v>
      </c>
      <c r="F21" s="4">
        <v>298685</v>
      </c>
      <c r="G21" s="4">
        <v>42519</v>
      </c>
      <c r="H21" s="4">
        <f t="shared" si="0"/>
        <v>264596.40000000002</v>
      </c>
      <c r="I21" s="1">
        <f>'พ.ย. 68'!I21+H21</f>
        <v>725536.57000000007</v>
      </c>
      <c r="J21" s="4">
        <f t="shared" ref="J21:K21" si="18">(H21/D21)*100</f>
        <v>43.67715835116649</v>
      </c>
      <c r="K21" s="43">
        <f t="shared" si="18"/>
        <v>41.611517170808142</v>
      </c>
      <c r="L21" s="4"/>
      <c r="M21" s="44" t="s">
        <v>111</v>
      </c>
      <c r="N21" s="4" t="s">
        <v>117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spans="1:29" ht="23.25">
      <c r="A22" s="8" t="e">
        <f ca="1"/>
        <v>#NAME?</v>
      </c>
      <c r="B22" s="41" t="s">
        <v>45</v>
      </c>
      <c r="C22" s="4">
        <v>185306</v>
      </c>
      <c r="D22" s="4">
        <v>155946</v>
      </c>
      <c r="E22" s="1">
        <f>'พ.ย. 68'!E22+D22</f>
        <v>457948</v>
      </c>
      <c r="F22" s="4">
        <v>109501</v>
      </c>
      <c r="G22" s="4">
        <v>10311.61</v>
      </c>
      <c r="H22" s="4">
        <f t="shared" si="0"/>
        <v>36133.39</v>
      </c>
      <c r="I22" s="1">
        <f>'พ.ย. 68'!I22+H22</f>
        <v>102204.77</v>
      </c>
      <c r="J22" s="4">
        <f t="shared" ref="J22:K22" si="19">(H22/D22)*100</f>
        <v>23.170450027573647</v>
      </c>
      <c r="K22" s="43">
        <f t="shared" si="19"/>
        <v>22.317985884860292</v>
      </c>
      <c r="L22" s="4"/>
      <c r="M22" s="51" t="s">
        <v>94</v>
      </c>
      <c r="N22" s="51" t="s">
        <v>95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spans="1:29" ht="23.25">
      <c r="A23" s="8" t="e">
        <f ca="1"/>
        <v>#NAME?</v>
      </c>
      <c r="B23" s="41" t="s">
        <v>46</v>
      </c>
      <c r="C23" s="4">
        <v>629762</v>
      </c>
      <c r="D23" s="4">
        <v>510939</v>
      </c>
      <c r="E23" s="1">
        <f>'พ.ย. 68'!E23+D23</f>
        <v>1738306</v>
      </c>
      <c r="F23" s="4">
        <v>282003</v>
      </c>
      <c r="G23" s="4">
        <v>8453</v>
      </c>
      <c r="H23" s="4">
        <f t="shared" si="0"/>
        <v>220483</v>
      </c>
      <c r="I23" s="1">
        <f>'พ.ย. 68'!I23+H23</f>
        <v>708457</v>
      </c>
      <c r="J23" s="4">
        <f t="shared" ref="J23:K23" si="20">(H23/D23)*100</f>
        <v>43.152509399360781</v>
      </c>
      <c r="K23" s="43">
        <f t="shared" si="20"/>
        <v>40.755597691085462</v>
      </c>
      <c r="L23" s="4"/>
      <c r="M23" s="44"/>
      <c r="N23" s="4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ht="23.25">
      <c r="A24" s="8" t="e">
        <f ca="1"/>
        <v>#NAME?</v>
      </c>
      <c r="B24" s="41" t="s">
        <v>47</v>
      </c>
      <c r="C24" s="4">
        <v>1765582</v>
      </c>
      <c r="D24" s="4">
        <v>1561747</v>
      </c>
      <c r="E24" s="1">
        <f>'พ.ย. 68'!E24+D24</f>
        <v>4824192</v>
      </c>
      <c r="F24" s="4">
        <v>800856</v>
      </c>
      <c r="G24" s="4">
        <v>16650</v>
      </c>
      <c r="H24" s="4">
        <f t="shared" si="0"/>
        <v>744241</v>
      </c>
      <c r="I24" s="1">
        <f>'พ.ย. 68'!I24+H24</f>
        <v>2412874</v>
      </c>
      <c r="J24" s="4">
        <f t="shared" ref="J24:K24" si="21">(H24/D24)*100</f>
        <v>47.654389603437693</v>
      </c>
      <c r="K24" s="43">
        <f t="shared" si="21"/>
        <v>50.016127052986278</v>
      </c>
      <c r="L24" s="4"/>
      <c r="M24" s="44" t="s">
        <v>118</v>
      </c>
      <c r="N24" s="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ht="23.25">
      <c r="A25" s="8" t="e">
        <f ca="1"/>
        <v>#NAME?</v>
      </c>
      <c r="B25" s="41" t="s">
        <v>48</v>
      </c>
      <c r="C25" s="4">
        <v>571025</v>
      </c>
      <c r="D25" s="4">
        <v>565536</v>
      </c>
      <c r="E25" s="1">
        <f>'พ.ย. 68'!E25+D25</f>
        <v>1648775</v>
      </c>
      <c r="F25" s="4">
        <v>311616</v>
      </c>
      <c r="G25" s="4">
        <v>68000</v>
      </c>
      <c r="H25" s="4">
        <f t="shared" si="0"/>
        <v>185920</v>
      </c>
      <c r="I25" s="1">
        <f>'พ.ย. 68'!I25+H25</f>
        <v>543334</v>
      </c>
      <c r="J25" s="4">
        <f t="shared" ref="J25:K25" si="22">(H25/D25)*100</f>
        <v>32.875007072936121</v>
      </c>
      <c r="K25" s="43">
        <f t="shared" si="22"/>
        <v>32.953799032615123</v>
      </c>
      <c r="L25" s="4"/>
      <c r="M25" s="44" t="s">
        <v>98</v>
      </c>
      <c r="N25" s="44" t="s">
        <v>99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ht="23.25">
      <c r="A26" s="52">
        <v>23</v>
      </c>
      <c r="B26" s="53" t="s">
        <v>100</v>
      </c>
      <c r="C26" s="14">
        <f>SUM(C4:C25)</f>
        <v>45019818.890000001</v>
      </c>
      <c r="D26" s="14">
        <f>SUM(D4:D25)</f>
        <v>41841338.689999998</v>
      </c>
      <c r="E26" s="54">
        <f>SUM(E4:E25)</f>
        <v>123049621.63</v>
      </c>
      <c r="F26" s="14">
        <f t="shared" ref="F26:H26" si="23">SUM(F4:F25)</f>
        <v>28177220</v>
      </c>
      <c r="G26" s="14">
        <f t="shared" si="23"/>
        <v>1674413.5000000002</v>
      </c>
      <c r="H26" s="14">
        <f t="shared" si="23"/>
        <v>11989705.190000001</v>
      </c>
      <c r="I26" s="54">
        <f>'พ.ย. 68'!I26+H26</f>
        <v>34958451.129999995</v>
      </c>
      <c r="J26" s="14">
        <f t="shared" ref="J26:K26" si="24">(H26/D26)*100</f>
        <v>28.655166314899766</v>
      </c>
      <c r="K26" s="14">
        <f t="shared" si="24"/>
        <v>28.410043579912141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ht="23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23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23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23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23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ht="23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ht="23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ht="23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ht="23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ht="23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ht="23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ht="23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ht="23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spans="1:29" ht="23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ht="23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ht="23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ht="23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ht="23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ht="23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ht="23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ht="23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ht="23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ht="23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ht="23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ht="23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ht="23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ht="23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ht="23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ht="23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ht="23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ht="23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ht="23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ht="23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ht="23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ht="23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ht="23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ht="23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ht="23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ht="23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spans="1:29" ht="23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ht="23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ht="23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ht="23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ht="23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ht="23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ht="23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ht="23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ht="23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ht="23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ht="23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ht="23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ht="23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ht="23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ht="23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ht="23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ht="23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ht="23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ht="23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ht="23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ht="23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ht="23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23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23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ht="23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ht="23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ht="23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ht="23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ht="23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spans="1:29" ht="23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ht="23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ht="23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29" ht="23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29" ht="23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ht="23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ht="23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29" ht="23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spans="1:29" ht="23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spans="1:29" ht="23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spans="1:29" ht="23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spans="1:29" ht="23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spans="1:29" ht="23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29" ht="23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spans="1:29" ht="23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spans="1:29" ht="23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spans="1:29" ht="23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spans="1:29" ht="23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spans="1:29" ht="23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spans="1:29" ht="23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spans="1:29" ht="23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spans="1:29" ht="23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spans="1:29" ht="23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spans="1:29" ht="23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spans="1:29" ht="23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spans="1:29" ht="23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spans="1:29" ht="23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spans="1:29" ht="23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spans="1:29" ht="23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spans="1:29" ht="23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spans="1:29" ht="23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spans="1:29" ht="23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spans="1:29" ht="23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spans="1:29" ht="23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spans="1:29" ht="23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spans="1:29" ht="23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spans="1:29" ht="23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spans="1:29" ht="23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spans="1:29" ht="23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spans="1:29" ht="23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spans="1:29" ht="23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spans="1:29" ht="23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spans="1:29" ht="23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spans="1:29" ht="23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spans="1:29" ht="23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spans="1:29" ht="23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spans="1:29" ht="23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spans="1:29" ht="23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spans="1:29" ht="23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spans="1:29" ht="23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spans="1:29" ht="23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spans="1:29" ht="23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spans="1:29" ht="23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spans="1:29" ht="23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spans="1:29" ht="23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spans="1:29" ht="23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spans="1:29" ht="23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spans="1:29" ht="23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 spans="1:29" ht="23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 spans="1:29" ht="23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 spans="1:29" ht="23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 spans="1:29" ht="23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spans="1:29" ht="23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 spans="1:29" ht="23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 spans="1:29" ht="23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 spans="1:29" ht="23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 spans="1:29" ht="23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 spans="1:29" ht="23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 spans="1:29" ht="23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 spans="1:29" ht="23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 spans="1:29" ht="23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 spans="1:29" ht="23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 spans="1:29" ht="23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 spans="1:29" ht="23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 spans="1:29" ht="23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 spans="1:29" ht="23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 spans="1:29" ht="23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 spans="1:29" ht="23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 spans="1:29" ht="23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 spans="1:29" ht="23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 spans="1:29" ht="23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 spans="1:29" ht="23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 spans="1:29" ht="23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 spans="1:29" ht="23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 spans="1:29" ht="23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 spans="1:29" ht="23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 spans="1:29" ht="23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 spans="1:29" ht="23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 spans="1:29" ht="23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 spans="1:29" ht="23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 spans="1:29" ht="23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 spans="1:29" ht="23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 spans="1:29" ht="23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 spans="1:29" ht="23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 spans="1:29" ht="23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 spans="1:29" ht="23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spans="1:29" ht="23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 spans="1:29" ht="23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 spans="1:29" ht="23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 spans="1:29" ht="23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 spans="1:29" ht="23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 spans="1:29" ht="23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 spans="1:29" ht="23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 spans="1:29" ht="23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 spans="1:29" ht="23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 spans="1:29" ht="23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 spans="1:29" ht="23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 spans="1:29" ht="23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 spans="1:29" ht="23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 spans="1:29" ht="23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 spans="1:29" ht="23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 spans="1:29" ht="23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 spans="1:29" ht="23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 spans="1:29" ht="23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 spans="1:29" ht="23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 spans="1:29" ht="23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 spans="1:29" ht="23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 spans="1:29" ht="23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 spans="1:29" ht="23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 spans="1:29" ht="23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 spans="1:29" ht="23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 spans="1:29" ht="23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 spans="1:29" ht="23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 spans="1:29" ht="23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 spans="1:29" ht="23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 spans="1:29" ht="23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 spans="1:29" ht="23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 spans="1:29" ht="23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 spans="1:29" ht="23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 spans="1:29" ht="23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 spans="1:29" ht="23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 spans="1:29" ht="23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 spans="1:29" ht="23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 spans="1:29" ht="23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 spans="1:29" ht="23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spans="1:29" ht="23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 spans="1:29" ht="23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 spans="1:29" ht="23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 spans="1:29" ht="23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 spans="1:29" ht="23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 spans="1:29" ht="23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 spans="1:29" ht="23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 spans="1:29" ht="23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 spans="1:29" ht="23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 spans="1:29" ht="23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 spans="1:29" ht="23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 spans="1:29" ht="23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 spans="1:29" ht="23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 spans="1:29" ht="23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 spans="1:29" ht="23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 spans="1:29" ht="23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 spans="1:29" ht="23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 spans="1:29" ht="23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 spans="1:29" ht="23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 spans="1:29" ht="23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 spans="1:29" ht="23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 spans="1:29" ht="23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 spans="1:29" ht="23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 spans="1:29" ht="23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 spans="1:29" ht="23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 spans="1:29" ht="23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 spans="1:29" ht="23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 spans="1:29" ht="23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 spans="1:29" ht="23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 spans="1:29" ht="23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 spans="1:29" ht="23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spans="1:29" ht="23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spans="1:29" ht="23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 spans="1:29" ht="23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 spans="1:29" ht="23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 spans="1:29" ht="23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 spans="1:29" ht="23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 spans="1:29" ht="23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 spans="1:29" ht="23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 spans="1:29" ht="23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 spans="1:29" ht="23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 spans="1:29" ht="23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 spans="1:29" ht="23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 spans="1:29" ht="23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 spans="1:29" ht="23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 spans="1:29" ht="23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 spans="1:29" ht="23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 spans="1:29" ht="23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 spans="1:29" ht="23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 spans="1:29" ht="23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 spans="1:29" ht="23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 spans="1:29" ht="23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 spans="1:29" ht="23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 spans="1:29" ht="23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 spans="1:29" ht="23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 spans="1:29" ht="23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 spans="1:29" ht="23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 spans="1:29" ht="23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 spans="1:29" ht="23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 spans="1:29" ht="23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 spans="1:29" ht="23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 spans="1:29" ht="23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 spans="1:29" ht="23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 spans="1:29" ht="23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 spans="1:29" ht="23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 spans="1:29" ht="23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 spans="1:29" ht="23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 spans="1:29" ht="23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 spans="1:29" ht="23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 spans="1:29" ht="23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spans="1:29" ht="23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 spans="1:29" ht="23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 spans="1:29" ht="23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 spans="1:29" ht="23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 spans="1:29" ht="23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 spans="1:29" ht="23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 spans="1:29" ht="23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 spans="1:29" ht="23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 spans="1:29" ht="23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 spans="1:29" ht="23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 spans="1:29" ht="23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 spans="1:29" ht="23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 spans="1:29" ht="23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 spans="1:29" ht="23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 spans="1:29" ht="23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 spans="1:29" ht="23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 spans="1:29" ht="23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 spans="1:29" ht="23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 spans="1:29" ht="23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 spans="1:29" ht="23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 spans="1:29" ht="23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 spans="1:29" ht="23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 spans="1:29" ht="23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 spans="1:29" ht="23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spans="1:29" ht="23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spans="1:29" ht="23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spans="1:29" ht="23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spans="1:29" ht="23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spans="1:29" ht="23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spans="1:29" ht="23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spans="1:29" ht="23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spans="1:29" ht="23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spans="1:29" ht="23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 spans="1:29" ht="23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 spans="1:29" ht="23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 spans="1:29" ht="23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 spans="1:29" ht="23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 spans="1:29" ht="23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 spans="1:29" ht="23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 spans="1:29" ht="23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 spans="1:29" ht="23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 spans="1:29" ht="23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 spans="1:29" ht="23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 spans="1:29" ht="23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 spans="1:29" ht="23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 spans="1:29" ht="23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 spans="1:29" ht="23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 spans="1:29" ht="23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 spans="1:29" ht="23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 spans="1:29" ht="23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 spans="1:29" ht="23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 spans="1:29" ht="23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 spans="1:29" ht="23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 spans="1:29" ht="23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 spans="1:29" ht="23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 spans="1:29" ht="23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 spans="1:29" ht="23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 spans="1:29" ht="23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 spans="1:29" ht="23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 spans="1:29" ht="23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 spans="1:29" ht="23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 spans="1:29" ht="23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 spans="1:29" ht="23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 spans="1:29" ht="23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 spans="1:29" ht="23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 spans="1:29" ht="23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 spans="1:29" ht="23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 spans="1:29" ht="23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 spans="1:29" ht="23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 spans="1:29" ht="23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 spans="1:29" ht="23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 spans="1:29" ht="23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 spans="1:29" ht="23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 spans="1:29" ht="23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 spans="1:29" ht="23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 spans="1:29" ht="23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 spans="1:29" ht="23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 spans="1:29" ht="23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 spans="1:29" ht="23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 spans="1:29" ht="23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 spans="1:29" ht="23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 spans="1:29" ht="23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 spans="1:29" ht="23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 spans="1:29" ht="23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 spans="1:29" ht="23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 spans="1:29" ht="23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 spans="1:29" ht="23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 spans="1:29" ht="23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 spans="1:29" ht="23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 spans="1:29" ht="23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 spans="1:29" ht="23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 spans="1:29" ht="23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 spans="1:29" ht="23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 spans="1:29" ht="23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 spans="1:29" ht="23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 spans="1:29" ht="23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 spans="1:29" ht="23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 spans="1:29" ht="23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 spans="1:29" ht="23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 spans="1:29" ht="23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 spans="1:29" ht="23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 spans="1:29" ht="23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 spans="1:29" ht="23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 spans="1:29" ht="23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 spans="1:29" ht="23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 spans="1:29" ht="23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 spans="1:29" ht="23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 spans="1:29" ht="23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 spans="1:29" ht="23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 spans="1:29" ht="23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 spans="1:29" ht="23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 spans="1:29" ht="23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 spans="1:29" ht="23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 spans="1:29" ht="23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 spans="1:29" ht="23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 spans="1:29" ht="23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 spans="1:29" ht="23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 spans="1:29" ht="23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 spans="1:29" ht="23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 spans="1:29" ht="23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 spans="1:29" ht="23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 spans="1:29" ht="23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 spans="1:29" ht="23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 spans="1:29" ht="23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 spans="1:29" ht="23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 spans="1:29" ht="23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 spans="1:29" ht="23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 spans="1:29" ht="23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 spans="1:29" ht="23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 spans="1:29" ht="23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 spans="1:29" ht="23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 spans="1:29" ht="23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 spans="1:29" ht="23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 spans="1:29" ht="23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 spans="1:29" ht="23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 spans="1:29" ht="23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 spans="1:29" ht="23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 spans="1:29" ht="23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 spans="1:29" ht="23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 spans="1:29" ht="23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 spans="1:29" ht="23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 spans="1:29" ht="23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 spans="1:29" ht="23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 spans="1:29" ht="23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 spans="1:29" ht="23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 spans="1:29" ht="23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spans="1:29" ht="23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 spans="1:29" ht="23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 spans="1:29" ht="23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 spans="1:29" ht="23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 spans="1:29" ht="23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 spans="1:29" ht="23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 spans="1:29" ht="23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 spans="1:29" ht="23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 spans="1:29" ht="23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 spans="1:29" ht="23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 spans="1:29" ht="23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 spans="1:29" ht="23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 spans="1:29" ht="23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 spans="1:29" ht="23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 spans="1:29" ht="23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 spans="1:29" ht="23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 spans="1:29" ht="23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 spans="1:29" ht="23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 spans="1:29" ht="23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 spans="1:29" ht="23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 spans="1:29" ht="23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 spans="1:29" ht="23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 spans="1:29" ht="23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 spans="1:29" ht="23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 spans="1:29" ht="23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 spans="1:29" ht="23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 spans="1:29" ht="23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 spans="1:29" ht="23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 spans="1:29" ht="23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 spans="1:29" ht="23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 spans="1:29" ht="23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 spans="1:29" ht="23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spans="1:29" ht="23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spans="1:29" ht="23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 spans="1:29" ht="23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 spans="1:29" ht="23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 spans="1:29" ht="23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 spans="1:29" ht="23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 spans="1:29" ht="23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 spans="1:29" ht="23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 spans="1:29" ht="23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 spans="1:29" ht="23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 spans="1:29" ht="23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 spans="1:29" ht="23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 spans="1:29" ht="23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 spans="1:29" ht="23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 spans="1:29" ht="23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 spans="1:29" ht="23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 spans="1:29" ht="23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 spans="1:29" ht="23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 spans="1:29" ht="23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 spans="1:29" ht="23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 spans="1:29" ht="23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 spans="1:29" ht="23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 spans="1:29" ht="23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 spans="1:29" ht="23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 spans="1:29" ht="23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 spans="1:29" ht="23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 spans="1:29" ht="23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 spans="1:29" ht="23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 spans="1:29" ht="23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 spans="1:29" ht="23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 spans="1:29" ht="23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 spans="1:29" ht="23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 spans="1:29" ht="23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 spans="1:29" ht="23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 spans="1:29" ht="23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 spans="1:29" ht="23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 spans="1:29" ht="23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 spans="1:29" ht="23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 spans="1:29" ht="23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 spans="1:29" ht="23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 spans="1:29" ht="23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 spans="1:29" ht="23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 spans="1:29" ht="23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 spans="1:29" ht="23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 spans="1:29" ht="23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 spans="1:29" ht="23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 spans="1:29" ht="23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 spans="1:29" ht="23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 spans="1:29" ht="23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 spans="1:29" ht="23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 spans="1:29" ht="23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 spans="1:29" ht="23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 spans="1:29" ht="23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 spans="1:29" ht="23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 spans="1:29" ht="23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 spans="1:29" ht="23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 spans="1:29" ht="23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 spans="1:29" ht="23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 spans="1:29" ht="23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 spans="1:29" ht="23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 spans="1:29" ht="23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 spans="1:29" ht="23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 spans="1:29" ht="23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 spans="1:29" ht="23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 spans="1:29" ht="23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 spans="1:29" ht="23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 spans="1:29" ht="23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 spans="1:29" ht="23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 spans="1:29" ht="23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 spans="1:29" ht="23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 spans="1:29" ht="23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 spans="1:29" ht="23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 spans="1:29" ht="23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 spans="1:29" ht="23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 spans="1:29" ht="23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 spans="1:29" ht="23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 spans="1:29" ht="23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 spans="1:29" ht="23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 spans="1:29" ht="23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 spans="1:29" ht="23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 spans="1:29" ht="23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 spans="1:29" ht="23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 spans="1:29" ht="23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 spans="1:29" ht="23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 spans="1:29" ht="23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spans="1:29" ht="23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spans="1:29" ht="23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spans="1:29" ht="23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spans="1:29" ht="23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spans="1:29" ht="23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spans="1:29" ht="23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spans="1:29" ht="23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spans="1:29" ht="23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spans="1:29" ht="23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spans="1:29" ht="23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spans="1:29" ht="23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spans="1:29" ht="23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spans="1:29" ht="23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spans="1:29" ht="23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spans="1:29" ht="23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spans="1:29" ht="23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spans="1:29" ht="23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spans="1:29" ht="23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spans="1:29" ht="23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spans="1:29" ht="23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spans="1:29" ht="23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spans="1:29" ht="23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spans="1:29" ht="23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spans="1:29" ht="23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spans="1:29" ht="23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spans="1:29" ht="23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spans="1:29" ht="23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spans="1:29" ht="23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spans="1:29" ht="23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spans="1:29" ht="23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spans="1:29" ht="23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spans="1:29" ht="23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spans="1:29" ht="23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spans="1:29" ht="23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spans="1:29" ht="23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spans="1:29" ht="23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spans="1:29" ht="23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spans="1:29" ht="23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spans="1:29" ht="23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spans="1:29" ht="23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spans="1:29" ht="23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spans="1:29" ht="23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spans="1:29" ht="23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spans="1:29" ht="23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spans="1:29" ht="23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spans="1:29" ht="23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spans="1:29" ht="23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spans="1:29" ht="23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spans="1:29" ht="23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spans="1:29" ht="23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spans="1:29" ht="23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spans="1:29" ht="23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spans="1:29" ht="23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spans="1:29" ht="23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spans="1:29" ht="23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spans="1:29" ht="23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spans="1:29" ht="23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spans="1:29" ht="23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spans="1:29" ht="23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spans="1:29" ht="23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spans="1:29" ht="23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spans="1:29" ht="23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spans="1:29" ht="23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spans="1:29" ht="23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spans="1:29" ht="23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spans="1:29" ht="23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spans="1:29" ht="23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spans="1:29" ht="23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spans="1:29" ht="23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spans="1:29" ht="23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spans="1:29" ht="23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spans="1:29" ht="23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spans="1:29" ht="23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spans="1:29" ht="23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spans="1:29" ht="23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spans="1:29" ht="23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spans="1:29" ht="23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spans="1:29" ht="23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spans="1:29" ht="23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spans="1:29" ht="23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spans="1:29" ht="23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spans="1:29" ht="23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spans="1:29" ht="23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spans="1:29" ht="23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spans="1:29" ht="23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spans="1:29" ht="23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spans="1:29" ht="23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spans="1:29" ht="23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spans="1:29" ht="23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spans="1:29" ht="23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spans="1:29" ht="23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spans="1:29" ht="23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spans="1:29" ht="23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spans="1:29" ht="23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spans="1:29" ht="23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spans="1:29" ht="23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spans="1:29" ht="23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spans="1:29" ht="23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spans="1:29" ht="23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spans="1:29" ht="23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spans="1:29" ht="23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spans="1:29" ht="23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spans="1:29" ht="23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spans="1:29" ht="23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spans="1:29" ht="23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spans="1:29" ht="23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spans="1:29" ht="23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spans="1:29" ht="23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spans="1:29" ht="23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spans="1:29" ht="23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spans="1:29" ht="23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spans="1:29" ht="23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spans="1:29" ht="23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spans="1:29" ht="23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spans="1:29" ht="23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spans="1:29" ht="23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spans="1:29" ht="23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spans="1:29" ht="23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spans="1:29" ht="23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spans="1:29" ht="23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spans="1:29" ht="23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spans="1:29" ht="23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spans="1:29" ht="23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spans="1:29" ht="23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spans="1:29" ht="23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spans="1:29" ht="23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spans="1:29" ht="23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spans="1:29" ht="23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spans="1:29" ht="23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spans="1:29" ht="23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spans="1:29" ht="23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spans="1:29" ht="23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spans="1:29" ht="23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spans="1:29" ht="23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spans="1:29" ht="23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spans="1:29" ht="23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spans="1:29" ht="23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spans="1:29" ht="23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spans="1:29" ht="23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spans="1:29" ht="23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spans="1:29" ht="23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spans="1:29" ht="23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spans="1:29" ht="23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spans="1:29" ht="23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spans="1:29" ht="23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spans="1:29" ht="23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spans="1:29" ht="23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spans="1:29" ht="23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spans="1:29" ht="23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spans="1:29" ht="23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spans="1:29" ht="23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spans="1:29" ht="23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spans="1:29" ht="23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spans="1:29" ht="23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spans="1:29" ht="23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spans="1:29" ht="23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spans="1:29" ht="23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spans="1:29" ht="23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spans="1:29" ht="23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spans="1:29" ht="23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spans="1:29" ht="23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spans="1:29" ht="23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spans="1:29" ht="23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spans="1:29" ht="23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spans="1:29" ht="23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spans="1:29" ht="23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spans="1:29" ht="23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spans="1:29" ht="23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spans="1:29" ht="23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spans="1:29" ht="23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spans="1:29" ht="23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spans="1:29" ht="23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spans="1:29" ht="23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spans="1:29" ht="23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spans="1:29" ht="23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spans="1:29" ht="23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spans="1:29" ht="23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spans="1:29" ht="23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spans="1:29" ht="23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spans="1:29" ht="23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spans="1:29" ht="23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spans="1:29" ht="23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spans="1:29" ht="23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spans="1:29" ht="23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spans="1:29" ht="23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spans="1:29" ht="23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spans="1:29" ht="23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spans="1:29" ht="23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spans="1:29" ht="23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spans="1:29" ht="23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spans="1:29" ht="23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spans="1:29" ht="23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spans="1:29" ht="23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spans="1:29" ht="23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spans="1:29" ht="23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spans="1:29" ht="23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spans="1:29" ht="23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spans="1:29" ht="23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spans="1:29" ht="23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spans="1:29" ht="23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spans="1:29" ht="23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spans="1:29" ht="23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spans="1:29" ht="23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spans="1:29" ht="23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spans="1:29" ht="23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spans="1:29" ht="23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spans="1:29" ht="23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spans="1:29" ht="23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spans="1:29" ht="23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spans="1:29" ht="23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spans="1:29" ht="23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spans="1:29" ht="23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spans="1:29" ht="23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spans="1:29" ht="23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spans="1:29" ht="23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spans="1:29" ht="23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spans="1:29" ht="23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spans="1:29" ht="23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spans="1:29" ht="23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spans="1:29" ht="23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spans="1:29" ht="23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spans="1:29" ht="23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spans="1:29" ht="23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spans="1:29" ht="23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spans="1:29" ht="23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spans="1:29" ht="23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spans="1:29" ht="23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spans="1:29" ht="23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spans="1:29" ht="23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spans="1:29" ht="23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spans="1:29" ht="23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spans="1:29" ht="23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spans="1:29" ht="23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spans="1:29" ht="23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spans="1:29" ht="23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spans="1:29" ht="23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spans="1:29" ht="23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spans="1:29" ht="23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spans="1:29" ht="23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spans="1:29" ht="23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spans="1:29" ht="23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spans="1:29" ht="23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spans="1:29" ht="23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spans="1:29" ht="23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spans="1:29" ht="23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spans="1:29" ht="23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spans="1:29" ht="23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spans="1:29" ht="23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spans="1:29" ht="23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spans="1:29" ht="23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spans="1:29" ht="23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spans="1:29" ht="23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spans="1:29" ht="23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spans="1:29" ht="23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spans="1:29" ht="23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spans="1:29" ht="23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spans="1:29" ht="23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spans="1:29" ht="23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spans="1:29" ht="23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spans="1:29" ht="23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spans="1:29" ht="23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spans="1:29" ht="23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spans="1:29" ht="23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spans="1:29" ht="23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spans="1:29" ht="23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spans="1:29" ht="23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spans="1:29" ht="23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spans="1:29" ht="23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spans="1:29" ht="23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spans="1:29" ht="23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spans="1:29" ht="23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spans="1:29" ht="23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spans="1:29" ht="23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spans="1:29" ht="23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spans="1:29" ht="23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spans="1:29" ht="23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spans="1:29" ht="23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spans="1:29" ht="23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spans="1:29" ht="23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spans="1:29" ht="23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spans="1:29" ht="23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spans="1:29" ht="23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spans="1:29" ht="23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spans="1:29" ht="23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spans="1:29" ht="23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spans="1:29" ht="23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spans="1:29" ht="23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spans="1:29" ht="23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spans="1:29" ht="23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spans="1:29" ht="23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spans="1:29" ht="23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spans="1:29" ht="23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spans="1:29" ht="23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spans="1:29" ht="23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spans="1:29" ht="23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spans="1:29" ht="23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spans="1:29" ht="23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spans="1:29" ht="23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spans="1:29" ht="23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spans="1:29" ht="23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spans="1:29" ht="23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spans="1:29" ht="23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spans="1:29" ht="23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spans="1:29" ht="23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spans="1:29" ht="23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spans="1:29" ht="23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spans="1:29" ht="23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spans="1:29" ht="23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spans="1:29" ht="23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spans="1:29" ht="23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spans="1:29" ht="23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spans="1:29" ht="23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spans="1:29" ht="23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spans="1:29" ht="23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spans="1:29" ht="23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spans="1:29" ht="23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spans="1:29" ht="23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spans="1:29" ht="23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spans="1:29" ht="23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spans="1:29" ht="23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spans="1:29" ht="23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spans="1:29" ht="23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spans="1:29" ht="23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spans="1:29" ht="23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spans="1:29" ht="23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spans="1:29" ht="23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spans="1:29" ht="23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spans="1:29" ht="23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spans="1:29" ht="23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spans="1:29" ht="23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spans="1:29" ht="23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spans="1:29" ht="23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spans="1:29" ht="23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spans="1:29" ht="23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spans="1:29" ht="23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spans="1:29" ht="23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spans="1:29" ht="23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spans="1:29" ht="23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spans="1:29" ht="23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spans="1:29" ht="23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spans="1:29" ht="23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spans="1:29" ht="23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spans="1:29" ht="23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spans="1:29" ht="23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spans="1:29" ht="23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spans="1:29" ht="23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spans="1:29" ht="23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spans="1:29" ht="23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spans="1:29" ht="23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spans="1:29" ht="23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spans="1:29" ht="23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spans="1:29" ht="23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spans="1:29" ht="23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spans="1:29" ht="23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spans="1:29" ht="23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spans="1:29" ht="23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spans="1:29" ht="23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spans="1:29" ht="23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spans="1:29" ht="23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spans="1:29" ht="23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spans="1:29" ht="23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spans="1:29" ht="23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spans="1:29" ht="23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spans="1:29" ht="23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spans="1:29" ht="23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spans="1:29" ht="23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spans="1:29" ht="23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spans="1:29" ht="23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spans="1:29" ht="23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spans="1:29" ht="23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spans="1:29" ht="23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spans="1:29" ht="23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spans="1:29" ht="23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spans="1:29" ht="23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spans="1:29" ht="23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spans="1:29" ht="23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spans="1:29" ht="23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spans="1:29" ht="23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spans="1:29" ht="23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spans="1:29" ht="23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spans="1:29" ht="23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spans="1:29" ht="23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spans="1:29" ht="23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spans="1:29" ht="23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spans="1:29" ht="23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spans="1:29" ht="23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spans="1:29" ht="23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spans="1:29" ht="23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spans="1:29" ht="23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spans="1:29" ht="23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spans="1:29" ht="23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spans="1:29" ht="23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spans="1:29" ht="23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spans="1:29" ht="23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spans="1:29" ht="23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spans="1:29" ht="23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spans="1:29" ht="23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spans="1:29" ht="23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spans="1:29" ht="23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spans="1:29" ht="23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spans="1:29" ht="23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spans="1:29" ht="23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spans="1:29" ht="23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 spans="1:29" ht="23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 spans="1:29" ht="23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 spans="1:29" ht="23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 spans="1:29" ht="23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 spans="1:29" ht="23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 spans="1:29" ht="23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 spans="1:29" ht="23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 spans="1:29" ht="23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 spans="1:29" ht="23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 spans="1:29" ht="23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 spans="1:29" ht="23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 spans="1:29" ht="23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 spans="1:29" ht="23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 spans="1:29" ht="23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 spans="1:29" ht="23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 spans="1:29" ht="23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 spans="1:29" ht="23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 spans="1:29" ht="23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 spans="1:29" ht="23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 spans="1:29" ht="23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 spans="1:29" ht="23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 spans="1:29" ht="23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 spans="1:29" ht="23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 spans="1:29" ht="23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 spans="1:29" ht="23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 spans="1:29" ht="23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 spans="1:29" ht="23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 spans="1:29" ht="23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 spans="1:29" ht="23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 spans="1:29" ht="23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 spans="1:29" ht="23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 spans="1:29" ht="23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 spans="1:29" ht="23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 spans="1:29" ht="23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 spans="1:29" ht="23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2:G1000">
    <cfRule type="cellIs" dxfId="1" priority="1" operator="greaterThan">
      <formula>100000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C1000"/>
  <sheetViews>
    <sheetView workbookViewId="0">
      <pane ySplit="3" topLeftCell="A4" activePane="bottomLeft" state="frozen"/>
      <selection pane="bottomLeft" activeCell="B5" sqref="B5"/>
    </sheetView>
  </sheetViews>
  <sheetFormatPr defaultColWidth="11.25" defaultRowHeight="15.75" customHeight="1"/>
  <cols>
    <col min="1" max="1" width="4.5" customWidth="1"/>
    <col min="3" max="3" width="15.5" customWidth="1"/>
    <col min="4" max="4" width="19.25" customWidth="1"/>
    <col min="5" max="5" width="24.375" customWidth="1"/>
    <col min="6" max="6" width="15.375" customWidth="1"/>
    <col min="7" max="8" width="17.625" customWidth="1"/>
    <col min="9" max="9" width="20.25" customWidth="1"/>
    <col min="11" max="11" width="15.5" customWidth="1"/>
    <col min="12" max="12" width="25.5" customWidth="1"/>
    <col min="13" max="13" width="23.125" customWidth="1"/>
    <col min="14" max="14" width="16" customWidth="1"/>
  </cols>
  <sheetData>
    <row r="1" spans="1:29" ht="27.75" customHeight="1">
      <c r="A1" s="75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ht="23.25">
      <c r="A2" s="76" t="s">
        <v>52</v>
      </c>
      <c r="B2" s="76" t="s">
        <v>53</v>
      </c>
      <c r="C2" s="40" t="s">
        <v>54</v>
      </c>
      <c r="D2" s="40" t="s">
        <v>55</v>
      </c>
      <c r="E2" s="40" t="s">
        <v>102</v>
      </c>
      <c r="F2" s="40" t="s">
        <v>56</v>
      </c>
      <c r="G2" s="40" t="s">
        <v>57</v>
      </c>
      <c r="H2" s="77" t="s">
        <v>58</v>
      </c>
      <c r="I2" s="64"/>
      <c r="J2" s="64"/>
      <c r="K2" s="65"/>
      <c r="L2" s="78" t="s">
        <v>59</v>
      </c>
      <c r="M2" s="78" t="s">
        <v>60</v>
      </c>
      <c r="N2" s="78" t="s">
        <v>61</v>
      </c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ht="23.25">
      <c r="A3" s="71"/>
      <c r="B3" s="71"/>
      <c r="C3" s="40" t="s">
        <v>62</v>
      </c>
      <c r="D3" s="40" t="s">
        <v>62</v>
      </c>
      <c r="E3" s="40" t="s">
        <v>62</v>
      </c>
      <c r="F3" s="40" t="s">
        <v>62</v>
      </c>
      <c r="G3" s="40" t="s">
        <v>62</v>
      </c>
      <c r="H3" s="40" t="s">
        <v>63</v>
      </c>
      <c r="I3" s="40" t="s">
        <v>103</v>
      </c>
      <c r="J3" s="40" t="s">
        <v>64</v>
      </c>
      <c r="K3" s="40" t="s">
        <v>104</v>
      </c>
      <c r="L3" s="71"/>
      <c r="M3" s="71"/>
      <c r="N3" s="71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29" ht="23.25">
      <c r="A4" s="8" t="e">
        <f t="array" aca="1" ref="A4:A25" ca="1">_xludf.SEQUENCE(22,1)</f>
        <v>#NAME?</v>
      </c>
      <c r="B4" s="41" t="s">
        <v>27</v>
      </c>
      <c r="C4" s="42">
        <v>4445468</v>
      </c>
      <c r="D4" s="1">
        <v>5374762.5</v>
      </c>
      <c r="E4" s="1">
        <f>'ธ.ค. 68'!E4+D4</f>
        <v>20719944.5</v>
      </c>
      <c r="F4" s="1">
        <v>3794319</v>
      </c>
      <c r="G4" s="1">
        <v>211460.19</v>
      </c>
      <c r="H4" s="1">
        <f t="shared" ref="H4:H25" si="0">D4-F4-G4</f>
        <v>1368983.31</v>
      </c>
      <c r="I4" s="60">
        <f>'ธ.ค. 68'!I4+H4</f>
        <v>4657229.0299999993</v>
      </c>
      <c r="J4" s="1">
        <f t="shared" ref="J4:K4" si="1">(H4/D4)*100</f>
        <v>25.470582374570039</v>
      </c>
      <c r="K4" s="43">
        <f t="shared" si="1"/>
        <v>22.477034289353426</v>
      </c>
      <c r="L4" s="4"/>
      <c r="M4" s="44" t="s">
        <v>65</v>
      </c>
      <c r="N4" s="44" t="s">
        <v>66</v>
      </c>
      <c r="O4" s="39"/>
      <c r="P4" s="39"/>
      <c r="Q4" s="39"/>
      <c r="R4" s="39"/>
      <c r="S4" s="39">
        <v>1580443.5</v>
      </c>
      <c r="T4" s="39">
        <v>29.404899286247531</v>
      </c>
      <c r="U4" s="39">
        <v>23.497597785553911</v>
      </c>
      <c r="V4" s="39"/>
      <c r="W4" s="39"/>
      <c r="X4" s="39"/>
      <c r="Y4" s="39"/>
      <c r="Z4" s="39"/>
      <c r="AA4" s="39"/>
      <c r="AB4" s="39"/>
      <c r="AC4" s="39"/>
    </row>
    <row r="5" spans="1:29" ht="23.25">
      <c r="A5" s="8" t="e">
        <f ca="1"/>
        <v>#NAME?</v>
      </c>
      <c r="B5" s="41" t="s">
        <v>28</v>
      </c>
      <c r="C5" s="42">
        <v>7227150</v>
      </c>
      <c r="D5" s="1">
        <v>6656927.0300000003</v>
      </c>
      <c r="E5" s="1">
        <f>'ธ.ค. 68'!E5+D5</f>
        <v>25701020.370000001</v>
      </c>
      <c r="F5" s="1">
        <v>5069208</v>
      </c>
      <c r="G5" s="1">
        <v>238520.62</v>
      </c>
      <c r="H5" s="4">
        <f t="shared" si="0"/>
        <v>1349198.4100000001</v>
      </c>
      <c r="I5" s="60">
        <f>'ธ.ค. 68'!I5+H5</f>
        <v>5527753.2400000002</v>
      </c>
      <c r="J5" s="4">
        <f t="shared" ref="J5:K5" si="2">(H5/D5)*100</f>
        <v>20.267585988545829</v>
      </c>
      <c r="K5" s="43">
        <f t="shared" si="2"/>
        <v>21.50791353969889</v>
      </c>
      <c r="L5" s="4"/>
      <c r="M5" s="44" t="s">
        <v>67</v>
      </c>
      <c r="N5" s="44" t="s">
        <v>105</v>
      </c>
      <c r="O5" s="39"/>
      <c r="P5" s="39"/>
      <c r="Q5" s="39"/>
      <c r="R5" s="39"/>
      <c r="S5" s="39">
        <v>0</v>
      </c>
      <c r="T5" s="39" t="e">
        <v>#DIV/0!</v>
      </c>
      <c r="U5" s="39">
        <v>21.941474216697994</v>
      </c>
      <c r="V5" s="39"/>
      <c r="W5" s="39"/>
      <c r="X5" s="39"/>
      <c r="Y5" s="39"/>
      <c r="Z5" s="39"/>
      <c r="AA5" s="39"/>
      <c r="AB5" s="39"/>
      <c r="AC5" s="39"/>
    </row>
    <row r="6" spans="1:29" ht="23.25">
      <c r="A6" s="8" t="e">
        <f ca="1"/>
        <v>#NAME?</v>
      </c>
      <c r="B6" s="41" t="s">
        <v>29</v>
      </c>
      <c r="C6" s="4">
        <v>2204136.02</v>
      </c>
      <c r="D6" s="4">
        <v>2064267.5</v>
      </c>
      <c r="E6" s="1">
        <f>'ธ.ค. 68'!E6+D6</f>
        <v>8216999</v>
      </c>
      <c r="F6" s="4">
        <v>1391155</v>
      </c>
      <c r="G6" s="4">
        <v>82904.89</v>
      </c>
      <c r="H6" s="4">
        <f t="shared" si="0"/>
        <v>590207.61</v>
      </c>
      <c r="I6" s="60">
        <f>'ธ.ค. 68'!I6+H6</f>
        <v>2599611.17</v>
      </c>
      <c r="J6" s="4">
        <f t="shared" ref="J6:K6" si="3">(H6/D6)*100</f>
        <v>28.591624389765375</v>
      </c>
      <c r="K6" s="43">
        <f t="shared" si="3"/>
        <v>31.63699021990875</v>
      </c>
      <c r="L6" s="4"/>
      <c r="M6" s="44"/>
      <c r="N6" s="4"/>
      <c r="O6" s="39"/>
      <c r="P6" s="39"/>
      <c r="Q6" s="39"/>
      <c r="R6" s="39"/>
      <c r="S6" s="39">
        <v>590207.61</v>
      </c>
      <c r="T6" s="39">
        <v>28.591624389765375</v>
      </c>
      <c r="U6" s="39">
        <v>31.63699021990875</v>
      </c>
      <c r="V6" s="39"/>
      <c r="W6" s="39"/>
      <c r="X6" s="39"/>
      <c r="Y6" s="39"/>
      <c r="Z6" s="39"/>
      <c r="AA6" s="39"/>
      <c r="AB6" s="39"/>
      <c r="AC6" s="39"/>
    </row>
    <row r="7" spans="1:29" ht="23.25">
      <c r="A7" s="8" t="e">
        <f ca="1"/>
        <v>#NAME?</v>
      </c>
      <c r="B7" s="41" t="s">
        <v>30</v>
      </c>
      <c r="C7" s="4">
        <v>3073277</v>
      </c>
      <c r="D7" s="4">
        <v>2260683</v>
      </c>
      <c r="E7" s="1">
        <f>'ธ.ค. 68'!E7+D7</f>
        <v>9308869</v>
      </c>
      <c r="F7" s="4">
        <v>1781279</v>
      </c>
      <c r="G7" s="4">
        <v>35217</v>
      </c>
      <c r="H7" s="4">
        <f t="shared" si="0"/>
        <v>444187</v>
      </c>
      <c r="I7" s="60">
        <f>'ธ.ค. 68'!I7+H7</f>
        <v>2153363.3199999998</v>
      </c>
      <c r="J7" s="4">
        <f t="shared" ref="J7:K7" si="4">(H7/D7)*100</f>
        <v>19.648354059370554</v>
      </c>
      <c r="K7" s="43">
        <f t="shared" si="4"/>
        <v>23.132383966301383</v>
      </c>
      <c r="L7" s="4"/>
      <c r="M7" s="44"/>
      <c r="N7" s="44" t="s">
        <v>70</v>
      </c>
      <c r="O7" s="39"/>
      <c r="P7" s="39"/>
      <c r="Q7" s="39"/>
      <c r="R7" s="39"/>
      <c r="S7" s="39">
        <v>444187</v>
      </c>
      <c r="T7" s="39">
        <v>19.648354059370554</v>
      </c>
      <c r="U7" s="39">
        <v>23.132383966301383</v>
      </c>
      <c r="V7" s="39"/>
      <c r="W7" s="39"/>
      <c r="X7" s="39"/>
      <c r="Y7" s="39"/>
      <c r="Z7" s="39"/>
      <c r="AA7" s="39"/>
      <c r="AB7" s="39"/>
      <c r="AC7" s="39"/>
    </row>
    <row r="8" spans="1:29" ht="23.25">
      <c r="A8" s="8" t="e">
        <f ca="1"/>
        <v>#NAME?</v>
      </c>
      <c r="B8" s="41" t="s">
        <v>31</v>
      </c>
      <c r="C8" s="4">
        <v>2524922.1800000002</v>
      </c>
      <c r="D8" s="55">
        <v>2824975.99</v>
      </c>
      <c r="E8" s="1">
        <f>'ธ.ค. 68'!E8+D8</f>
        <v>10920386.630000001</v>
      </c>
      <c r="F8" s="56">
        <v>1687853</v>
      </c>
      <c r="G8" s="4">
        <v>270350</v>
      </c>
      <c r="H8" s="4">
        <f t="shared" si="0"/>
        <v>866772.99000000022</v>
      </c>
      <c r="I8" s="60">
        <f>'ธ.ค. 68'!I8+H8</f>
        <v>3786634.6300000004</v>
      </c>
      <c r="J8" s="4">
        <f t="shared" ref="J8:K8" si="5">(H8/D8)*100</f>
        <v>30.682490508529959</v>
      </c>
      <c r="K8" s="43">
        <f t="shared" si="5"/>
        <v>34.674913611552235</v>
      </c>
      <c r="L8" s="4"/>
      <c r="M8" s="44" t="s">
        <v>119</v>
      </c>
      <c r="N8" s="44" t="s">
        <v>112</v>
      </c>
      <c r="O8" s="39"/>
      <c r="P8" s="39"/>
      <c r="Q8" s="39"/>
      <c r="R8" s="39"/>
      <c r="S8" s="39">
        <v>866772.99000000022</v>
      </c>
      <c r="T8" s="39">
        <v>30.682490508529959</v>
      </c>
      <c r="U8" s="39">
        <v>34.674913611552235</v>
      </c>
      <c r="V8" s="39"/>
      <c r="W8" s="39"/>
      <c r="X8" s="39"/>
      <c r="Y8" s="39"/>
      <c r="Z8" s="39"/>
      <c r="AA8" s="39"/>
      <c r="AB8" s="39"/>
      <c r="AC8" s="39"/>
    </row>
    <row r="9" spans="1:29" ht="21" customHeight="1">
      <c r="A9" s="8" t="e">
        <f ca="1"/>
        <v>#NAME?</v>
      </c>
      <c r="B9" s="41" t="s">
        <v>32</v>
      </c>
      <c r="C9" s="42">
        <v>2913612</v>
      </c>
      <c r="D9" s="42">
        <v>2871872</v>
      </c>
      <c r="E9" s="1">
        <f>'ธ.ค. 68'!E9+D9</f>
        <v>11373369</v>
      </c>
      <c r="F9" s="42">
        <v>2109230</v>
      </c>
      <c r="G9" s="42">
        <v>62658</v>
      </c>
      <c r="H9" s="4">
        <f t="shared" si="0"/>
        <v>699984</v>
      </c>
      <c r="I9" s="60">
        <f>'ธ.ค. 68'!I9+H9</f>
        <v>2973810</v>
      </c>
      <c r="J9" s="4">
        <f t="shared" ref="J9:K9" si="6">(H9/D9)*100</f>
        <v>24.373788246829942</v>
      </c>
      <c r="K9" s="43">
        <f t="shared" si="6"/>
        <v>26.147133712095332</v>
      </c>
      <c r="L9" s="4"/>
      <c r="M9" s="44" t="s">
        <v>72</v>
      </c>
      <c r="N9" s="44" t="s">
        <v>73</v>
      </c>
      <c r="O9" s="39"/>
      <c r="P9" s="39"/>
      <c r="Q9" s="39"/>
      <c r="R9" s="39"/>
      <c r="S9" s="39">
        <v>699984</v>
      </c>
      <c r="T9" s="39">
        <v>24.373788246829942</v>
      </c>
      <c r="U9" s="39">
        <v>26.147133712095332</v>
      </c>
      <c r="V9" s="39"/>
      <c r="W9" s="39"/>
      <c r="X9" s="39"/>
      <c r="Y9" s="39"/>
      <c r="Z9" s="39"/>
      <c r="AA9" s="39"/>
      <c r="AB9" s="39"/>
      <c r="AC9" s="39"/>
    </row>
    <row r="10" spans="1:29" ht="23.25">
      <c r="A10" s="45" t="e">
        <f ca="1"/>
        <v>#NAME?</v>
      </c>
      <c r="B10" s="46" t="s">
        <v>33</v>
      </c>
      <c r="C10" s="47">
        <v>1080260.3</v>
      </c>
      <c r="D10" s="47">
        <v>1056784</v>
      </c>
      <c r="E10" s="1">
        <f>'ธ.ค. 68'!E10+D10</f>
        <v>4209078</v>
      </c>
      <c r="F10" s="47">
        <v>897940</v>
      </c>
      <c r="G10" s="47">
        <v>44051.42</v>
      </c>
      <c r="H10" s="12">
        <f t="shared" si="0"/>
        <v>114792.58</v>
      </c>
      <c r="I10" s="60">
        <f>'ธ.ค. 68'!I10+H10</f>
        <v>409620.13</v>
      </c>
      <c r="J10" s="12">
        <f t="shared" ref="J10:K10" si="7">(H10/D10)*100</f>
        <v>10.86244492725098</v>
      </c>
      <c r="K10" s="43">
        <f t="shared" si="7"/>
        <v>9.7318255922080787</v>
      </c>
      <c r="L10" s="12"/>
      <c r="M10" s="48" t="s">
        <v>74</v>
      </c>
      <c r="N10" s="48" t="s">
        <v>75</v>
      </c>
      <c r="O10" s="39"/>
      <c r="P10" s="39"/>
      <c r="Q10" s="39"/>
      <c r="R10" s="39"/>
      <c r="S10" s="39">
        <v>114792.58</v>
      </c>
      <c r="T10" s="39">
        <v>10.86244492725098</v>
      </c>
      <c r="U10" s="39">
        <v>9.7318255922080787</v>
      </c>
      <c r="V10" s="39"/>
      <c r="W10" s="39"/>
      <c r="X10" s="39"/>
      <c r="Y10" s="39"/>
      <c r="Z10" s="39"/>
      <c r="AA10" s="39"/>
      <c r="AB10" s="39"/>
      <c r="AC10" s="39"/>
    </row>
    <row r="11" spans="1:29" ht="23.25">
      <c r="A11" s="8" t="e">
        <f ca="1"/>
        <v>#NAME?</v>
      </c>
      <c r="B11" s="41" t="s">
        <v>34</v>
      </c>
      <c r="C11" s="4">
        <v>1397452</v>
      </c>
      <c r="D11" s="4">
        <v>1395532</v>
      </c>
      <c r="E11" s="1">
        <f>'ธ.ค. 68'!E11+D11</f>
        <v>5432897</v>
      </c>
      <c r="F11" s="4">
        <v>1214781</v>
      </c>
      <c r="G11" s="61">
        <v>42820.03</v>
      </c>
      <c r="H11" s="4">
        <f t="shared" si="0"/>
        <v>137930.97</v>
      </c>
      <c r="I11" s="60">
        <f>'ธ.ค. 68'!I11+H11</f>
        <v>622099.79999999993</v>
      </c>
      <c r="J11" s="4">
        <f t="shared" ref="J11:K11" si="8">(H11/D11)*100</f>
        <v>9.8837554423689316</v>
      </c>
      <c r="K11" s="43">
        <f t="shared" si="8"/>
        <v>11.450609131739474</v>
      </c>
      <c r="L11" s="4"/>
      <c r="M11" s="44"/>
      <c r="N11" s="44" t="s">
        <v>108</v>
      </c>
      <c r="O11" s="39"/>
      <c r="P11" s="39"/>
      <c r="Q11" s="39"/>
      <c r="R11" s="39"/>
      <c r="S11" s="39">
        <v>137930.97</v>
      </c>
      <c r="T11" s="39">
        <v>9.8837554423689316</v>
      </c>
      <c r="U11" s="39">
        <v>11.450609131739474</v>
      </c>
      <c r="V11" s="39"/>
      <c r="W11" s="39"/>
      <c r="X11" s="39"/>
      <c r="Y11" s="39"/>
      <c r="Z11" s="39"/>
      <c r="AA11" s="39"/>
      <c r="AB11" s="39"/>
      <c r="AC11" s="39"/>
    </row>
    <row r="12" spans="1:29" ht="23.25">
      <c r="A12" s="8" t="e">
        <f ca="1"/>
        <v>#NAME?</v>
      </c>
      <c r="B12" s="41" t="s">
        <v>35</v>
      </c>
      <c r="C12" s="4">
        <v>3059258</v>
      </c>
      <c r="D12" s="4">
        <v>2805904</v>
      </c>
      <c r="E12" s="1">
        <f>'ธ.ค. 68'!E12+D12</f>
        <v>11206275</v>
      </c>
      <c r="F12" s="4">
        <v>1830724</v>
      </c>
      <c r="G12" s="4">
        <v>185000</v>
      </c>
      <c r="H12" s="4">
        <f t="shared" si="0"/>
        <v>790180</v>
      </c>
      <c r="I12" s="60">
        <f>'ธ.ค. 68'!I12+H12</f>
        <v>3410354</v>
      </c>
      <c r="J12" s="4">
        <f t="shared" ref="J12:K12" si="9">(H12/D12)*100</f>
        <v>28.161334101237962</v>
      </c>
      <c r="K12" s="43">
        <f t="shared" si="9"/>
        <v>30.432538912350449</v>
      </c>
      <c r="L12" s="4"/>
      <c r="M12" s="44"/>
      <c r="N12" s="49" t="s">
        <v>79</v>
      </c>
      <c r="O12" s="39"/>
      <c r="P12" s="39"/>
      <c r="Q12" s="39"/>
      <c r="R12" s="39"/>
      <c r="S12" s="39">
        <v>790180</v>
      </c>
      <c r="T12" s="39">
        <v>28.161334101237962</v>
      </c>
      <c r="U12" s="39">
        <v>30.432538912350449</v>
      </c>
      <c r="V12" s="39"/>
      <c r="W12" s="39"/>
      <c r="X12" s="39"/>
      <c r="Y12" s="39"/>
      <c r="Z12" s="39"/>
      <c r="AA12" s="39"/>
      <c r="AB12" s="39"/>
      <c r="AC12" s="39"/>
    </row>
    <row r="13" spans="1:29" ht="23.25">
      <c r="A13" s="8" t="e">
        <f ca="1"/>
        <v>#NAME?</v>
      </c>
      <c r="B13" s="41" t="s">
        <v>36</v>
      </c>
      <c r="C13" s="4">
        <v>967202.41</v>
      </c>
      <c r="D13" s="4">
        <v>922955</v>
      </c>
      <c r="E13" s="1">
        <f>'ธ.ค. 68'!E13+D13</f>
        <v>3353738</v>
      </c>
      <c r="F13" s="4">
        <v>599330</v>
      </c>
      <c r="G13" s="4">
        <v>57850</v>
      </c>
      <c r="H13" s="4">
        <f t="shared" si="0"/>
        <v>265775</v>
      </c>
      <c r="I13" s="60">
        <f>'ธ.ค. 68'!I13+H13</f>
        <v>952603.8</v>
      </c>
      <c r="J13" s="4">
        <f t="shared" ref="J13:K13" si="10">(H13/D13)*100</f>
        <v>28.796095150901181</v>
      </c>
      <c r="K13" s="43">
        <f t="shared" si="10"/>
        <v>28.404240283528409</v>
      </c>
      <c r="L13" s="4"/>
      <c r="M13" s="44"/>
      <c r="N13" s="4"/>
      <c r="O13" s="39"/>
      <c r="P13" s="39"/>
      <c r="Q13" s="39"/>
      <c r="R13" s="39"/>
      <c r="S13" s="39">
        <v>265775</v>
      </c>
      <c r="T13" s="39">
        <v>28.796095150901181</v>
      </c>
      <c r="U13" s="39">
        <v>28.404240283528409</v>
      </c>
      <c r="V13" s="39"/>
      <c r="W13" s="39"/>
      <c r="X13" s="39"/>
      <c r="Y13" s="39"/>
      <c r="Z13" s="39"/>
      <c r="AA13" s="39"/>
      <c r="AB13" s="39"/>
      <c r="AC13" s="39"/>
    </row>
    <row r="14" spans="1:29" ht="23.25">
      <c r="A14" s="8" t="e">
        <f ca="1"/>
        <v>#NAME?</v>
      </c>
      <c r="B14" s="41" t="s">
        <v>37</v>
      </c>
      <c r="C14" s="4">
        <v>2139977</v>
      </c>
      <c r="D14" s="4">
        <v>1932277</v>
      </c>
      <c r="E14" s="1">
        <f>'ธ.ค. 68'!E14+D14</f>
        <v>7763665</v>
      </c>
      <c r="F14" s="4">
        <v>1761969</v>
      </c>
      <c r="G14" s="4">
        <v>20256</v>
      </c>
      <c r="H14" s="4">
        <f t="shared" si="0"/>
        <v>150052</v>
      </c>
      <c r="I14" s="60">
        <f>'ธ.ค. 68'!I14+H14</f>
        <v>915413</v>
      </c>
      <c r="J14" s="4">
        <f t="shared" ref="J14:K14" si="11">(H14/D14)*100</f>
        <v>7.7655532824745102</v>
      </c>
      <c r="K14" s="43">
        <f t="shared" si="11"/>
        <v>11.790990466487155</v>
      </c>
      <c r="L14" s="4"/>
      <c r="M14" s="44" t="s">
        <v>120</v>
      </c>
      <c r="N14" s="44" t="s">
        <v>81</v>
      </c>
      <c r="O14" s="39"/>
      <c r="P14" s="39"/>
      <c r="Q14" s="39"/>
      <c r="R14" s="39"/>
      <c r="S14" s="39">
        <v>0</v>
      </c>
      <c r="T14" s="39" t="e">
        <v>#DIV/0!</v>
      </c>
      <c r="U14" s="39">
        <v>13.124851236103652</v>
      </c>
      <c r="V14" s="39"/>
      <c r="W14" s="39"/>
      <c r="X14" s="39"/>
      <c r="Y14" s="39"/>
      <c r="Z14" s="39"/>
      <c r="AA14" s="39"/>
      <c r="AB14" s="39"/>
      <c r="AC14" s="39"/>
    </row>
    <row r="15" spans="1:29" ht="23.25">
      <c r="A15" s="8" t="e">
        <f ca="1"/>
        <v>#NAME?</v>
      </c>
      <c r="B15" s="41" t="s">
        <v>38</v>
      </c>
      <c r="C15" s="4">
        <v>3697654</v>
      </c>
      <c r="D15" s="4">
        <v>3651761</v>
      </c>
      <c r="E15" s="1">
        <f>'ธ.ค. 68'!E15+D15</f>
        <v>13744428</v>
      </c>
      <c r="F15" s="4">
        <v>2596047</v>
      </c>
      <c r="G15" s="4">
        <v>113291</v>
      </c>
      <c r="H15" s="4">
        <f t="shared" si="0"/>
        <v>942423</v>
      </c>
      <c r="I15" s="60">
        <f>'ธ.ค. 68'!I15+H15</f>
        <v>3694027</v>
      </c>
      <c r="J15" s="4">
        <f t="shared" ref="J15:K15" si="12">(H15/D15)*100</f>
        <v>25.807357053213504</v>
      </c>
      <c r="K15" s="43">
        <f t="shared" si="12"/>
        <v>26.876542261344017</v>
      </c>
      <c r="L15" s="4"/>
      <c r="M15" s="44"/>
      <c r="N15" s="4"/>
      <c r="O15" s="39"/>
      <c r="P15" s="39"/>
      <c r="Q15" s="39"/>
      <c r="R15" s="39"/>
      <c r="S15" s="39">
        <v>942423</v>
      </c>
      <c r="T15" s="39">
        <v>25.807357053213504</v>
      </c>
      <c r="U15" s="39">
        <v>26.876542261344017</v>
      </c>
      <c r="V15" s="39"/>
      <c r="W15" s="39"/>
      <c r="X15" s="39"/>
      <c r="Y15" s="39"/>
      <c r="Z15" s="39"/>
      <c r="AA15" s="39"/>
      <c r="AB15" s="39"/>
      <c r="AC15" s="39"/>
    </row>
    <row r="16" spans="1:29" ht="23.25">
      <c r="A16" s="8" t="e">
        <f ca="1"/>
        <v>#NAME?</v>
      </c>
      <c r="B16" s="41" t="s">
        <v>39</v>
      </c>
      <c r="C16" s="4">
        <v>1080260.3</v>
      </c>
      <c r="D16" s="4">
        <v>938285</v>
      </c>
      <c r="E16" s="1">
        <f>'ธ.ค. 68'!E16+D16</f>
        <v>3489350</v>
      </c>
      <c r="F16" s="4">
        <v>522584</v>
      </c>
      <c r="G16" s="4">
        <v>22849</v>
      </c>
      <c r="H16" s="4">
        <f t="shared" si="0"/>
        <v>392852</v>
      </c>
      <c r="I16" s="60">
        <f>'ธ.ค. 68'!I16+H16</f>
        <v>1503598</v>
      </c>
      <c r="J16" s="4">
        <f t="shared" ref="J16:K16" si="13">(H16/D16)*100</f>
        <v>41.869154894301836</v>
      </c>
      <c r="K16" s="43">
        <f t="shared" si="13"/>
        <v>43.091062805393555</v>
      </c>
      <c r="L16" s="4"/>
      <c r="M16" s="44" t="s">
        <v>109</v>
      </c>
      <c r="N16" s="44" t="s">
        <v>110</v>
      </c>
      <c r="O16" s="39"/>
      <c r="P16" s="39"/>
      <c r="Q16" s="39"/>
      <c r="R16" s="39"/>
      <c r="S16" s="39">
        <v>392880</v>
      </c>
      <c r="T16" s="39">
        <v>41.87213906222523</v>
      </c>
      <c r="U16" s="39">
        <v>43.091865247109062</v>
      </c>
      <c r="V16" s="39"/>
      <c r="W16" s="39"/>
      <c r="X16" s="39"/>
      <c r="Y16" s="39"/>
      <c r="Z16" s="39"/>
      <c r="AA16" s="39"/>
      <c r="AB16" s="39"/>
      <c r="AC16" s="39"/>
    </row>
    <row r="17" spans="1:29" ht="23.25">
      <c r="A17" s="8" t="e">
        <f ca="1"/>
        <v>#NAME?</v>
      </c>
      <c r="B17" s="41" t="s">
        <v>40</v>
      </c>
      <c r="C17" s="4">
        <v>2096945</v>
      </c>
      <c r="D17" s="4">
        <v>2035678</v>
      </c>
      <c r="E17" s="1">
        <f>'ธ.ค. 68'!E17+D17</f>
        <v>8025645.1100000003</v>
      </c>
      <c r="F17" s="62">
        <v>1333697</v>
      </c>
      <c r="G17" s="4">
        <v>43523</v>
      </c>
      <c r="H17" s="4">
        <f t="shared" si="0"/>
        <v>658458</v>
      </c>
      <c r="I17" s="60">
        <f>'ธ.ค. 68'!I17+H17</f>
        <v>2603979.1100000003</v>
      </c>
      <c r="J17" s="4">
        <f t="shared" ref="J17:K17" si="14">(H17/D17)*100</f>
        <v>32.345881814314446</v>
      </c>
      <c r="K17" s="43">
        <f t="shared" si="14"/>
        <v>32.445729586964013</v>
      </c>
      <c r="L17" s="4"/>
      <c r="M17" s="44" t="s">
        <v>85</v>
      </c>
      <c r="N17" s="57" t="s">
        <v>113</v>
      </c>
      <c r="O17" s="39"/>
      <c r="P17" s="39"/>
      <c r="Q17" s="39"/>
      <c r="R17" s="39"/>
      <c r="S17" s="39">
        <v>0</v>
      </c>
      <c r="T17" s="39" t="e">
        <v>#DIV/0!</v>
      </c>
      <c r="U17" s="39">
        <v>32.534237237239189</v>
      </c>
      <c r="V17" s="39"/>
      <c r="W17" s="39"/>
      <c r="X17" s="39"/>
      <c r="Y17" s="39"/>
      <c r="Z17" s="39"/>
      <c r="AA17" s="39"/>
      <c r="AB17" s="39"/>
      <c r="AC17" s="39"/>
    </row>
    <row r="18" spans="1:29" ht="24">
      <c r="A18" s="8" t="e">
        <f ca="1"/>
        <v>#NAME?</v>
      </c>
      <c r="B18" s="41" t="s">
        <v>41</v>
      </c>
      <c r="C18" s="58">
        <v>632044.21</v>
      </c>
      <c r="D18" s="58">
        <v>592636</v>
      </c>
      <c r="E18" s="1">
        <f>'ธ.ค. 68'!E18+D18</f>
        <v>2285137</v>
      </c>
      <c r="F18" s="58">
        <v>273817</v>
      </c>
      <c r="G18" s="58">
        <v>15458.24</v>
      </c>
      <c r="H18" s="4">
        <f t="shared" si="0"/>
        <v>303360.76</v>
      </c>
      <c r="I18" s="60">
        <f>'ธ.ค. 68'!I18+H18</f>
        <v>1234843.56</v>
      </c>
      <c r="J18" s="4">
        <f t="shared" ref="J18:K18" si="15">(H18/D18)*100</f>
        <v>51.188378701260127</v>
      </c>
      <c r="K18" s="43">
        <f t="shared" si="15"/>
        <v>54.03805373594669</v>
      </c>
      <c r="L18" s="4"/>
      <c r="M18" s="44" t="s">
        <v>87</v>
      </c>
      <c r="N18" s="44" t="s">
        <v>88</v>
      </c>
      <c r="O18" s="39"/>
      <c r="P18" s="39"/>
      <c r="Q18" s="39"/>
      <c r="R18" s="39"/>
      <c r="S18" s="39">
        <v>303360.76</v>
      </c>
      <c r="T18" s="39">
        <v>51.188378701260127</v>
      </c>
      <c r="U18" s="39">
        <v>54.03805373594669</v>
      </c>
      <c r="V18" s="39"/>
      <c r="W18" s="39"/>
      <c r="X18" s="39"/>
      <c r="Y18" s="39"/>
      <c r="Z18" s="39"/>
      <c r="AA18" s="39"/>
      <c r="AB18" s="39"/>
      <c r="AC18" s="39"/>
    </row>
    <row r="19" spans="1:29" ht="23.25">
      <c r="A19" s="8" t="e">
        <f ca="1"/>
        <v>#NAME?</v>
      </c>
      <c r="B19" s="41" t="s">
        <v>42</v>
      </c>
      <c r="C19" s="4">
        <v>1648417.38</v>
      </c>
      <c r="D19" s="4">
        <v>1287114</v>
      </c>
      <c r="E19" s="1">
        <f>'ธ.ค. 68'!E19+D19</f>
        <v>5089107.47</v>
      </c>
      <c r="F19" s="4">
        <v>573966</v>
      </c>
      <c r="G19" s="4">
        <v>197</v>
      </c>
      <c r="H19" s="4">
        <f t="shared" si="0"/>
        <v>712951</v>
      </c>
      <c r="I19" s="60">
        <f>'ธ.ค. 68'!I19+H19</f>
        <v>2992936.4699999997</v>
      </c>
      <c r="J19" s="4">
        <f t="shared" ref="J19:K19" si="16">(H19/D19)*100</f>
        <v>55.391441628325076</v>
      </c>
      <c r="K19" s="43">
        <f t="shared" si="16"/>
        <v>58.810636003330465</v>
      </c>
      <c r="L19" s="4"/>
      <c r="M19" s="44"/>
      <c r="N19" s="59">
        <v>970059909</v>
      </c>
      <c r="O19" s="39"/>
      <c r="P19" s="39"/>
      <c r="Q19" s="39"/>
      <c r="R19" s="39"/>
      <c r="S19" s="39">
        <v>712951</v>
      </c>
      <c r="T19" s="39">
        <v>55.391441628325076</v>
      </c>
      <c r="U19" s="39">
        <v>58.810636003330465</v>
      </c>
      <c r="V19" s="39"/>
      <c r="W19" s="39"/>
      <c r="X19" s="39"/>
      <c r="Y19" s="39"/>
      <c r="Z19" s="39"/>
      <c r="AA19" s="39"/>
      <c r="AB19" s="39"/>
      <c r="AC19" s="39"/>
    </row>
    <row r="20" spans="1:29" ht="23.25">
      <c r="A20" s="8" t="e">
        <f ca="1"/>
        <v>#NAME?</v>
      </c>
      <c r="B20" s="41" t="s">
        <v>43</v>
      </c>
      <c r="C20" s="4">
        <v>206093</v>
      </c>
      <c r="D20" s="4">
        <v>172746</v>
      </c>
      <c r="E20" s="1">
        <f>'ธ.ค. 68'!E20+D20</f>
        <v>642056</v>
      </c>
      <c r="F20" s="4">
        <v>69431</v>
      </c>
      <c r="G20" s="4">
        <v>2478</v>
      </c>
      <c r="H20" s="4">
        <f t="shared" si="0"/>
        <v>100837</v>
      </c>
      <c r="I20" s="60">
        <f>'ธ.ค. 68'!I20+H20</f>
        <v>317114.16000000003</v>
      </c>
      <c r="J20" s="4">
        <f t="shared" ref="J20:K20" si="17">(H20/D20)*100</f>
        <v>58.372986928785622</v>
      </c>
      <c r="K20" s="43">
        <f t="shared" si="17"/>
        <v>49.390420773265888</v>
      </c>
      <c r="L20" s="4"/>
      <c r="M20" s="44"/>
      <c r="N20" s="4" t="s">
        <v>116</v>
      </c>
      <c r="O20" s="39"/>
      <c r="P20" s="39"/>
      <c r="Q20" s="39"/>
      <c r="R20" s="39"/>
      <c r="S20" s="39">
        <v>100837</v>
      </c>
      <c r="T20" s="39">
        <v>58.372986928785622</v>
      </c>
      <c r="U20" s="39">
        <v>49.390420773265888</v>
      </c>
      <c r="V20" s="39"/>
      <c r="W20" s="39"/>
      <c r="X20" s="39"/>
      <c r="Y20" s="39"/>
      <c r="Z20" s="39"/>
      <c r="AA20" s="39"/>
      <c r="AB20" s="39"/>
      <c r="AC20" s="39"/>
    </row>
    <row r="21" spans="1:29" ht="23.25">
      <c r="A21" s="8" t="e">
        <f ca="1"/>
        <v>#NAME?</v>
      </c>
      <c r="B21" s="41" t="s">
        <v>44</v>
      </c>
      <c r="C21" s="4">
        <v>681646.94</v>
      </c>
      <c r="D21" s="4">
        <v>602598.14</v>
      </c>
      <c r="E21" s="1">
        <f>'ธ.ค. 68'!E21+D21</f>
        <v>2346193.71</v>
      </c>
      <c r="F21" s="4">
        <v>339718</v>
      </c>
      <c r="G21" s="4">
        <v>30470</v>
      </c>
      <c r="H21" s="4">
        <f t="shared" si="0"/>
        <v>232410.14</v>
      </c>
      <c r="I21" s="60">
        <f>'ธ.ค. 68'!I21+H21</f>
        <v>957946.71000000008</v>
      </c>
      <c r="J21" s="4">
        <f t="shared" ref="J21:K21" si="18">(H21/D21)*100</f>
        <v>38.568014829916336</v>
      </c>
      <c r="K21" s="43">
        <f t="shared" si="18"/>
        <v>40.829821762671081</v>
      </c>
      <c r="L21" s="4"/>
      <c r="M21" s="44" t="s">
        <v>111</v>
      </c>
      <c r="N21" s="4" t="s">
        <v>117</v>
      </c>
      <c r="O21" s="39"/>
      <c r="P21" s="39"/>
      <c r="Q21" s="39"/>
      <c r="R21" s="39"/>
      <c r="S21" s="39">
        <v>232410.14</v>
      </c>
      <c r="T21" s="39">
        <v>38.568014829916336</v>
      </c>
      <c r="U21" s="39">
        <v>40.829821762671081</v>
      </c>
      <c r="V21" s="39"/>
      <c r="W21" s="39"/>
      <c r="X21" s="39"/>
      <c r="Y21" s="39"/>
      <c r="Z21" s="39"/>
      <c r="AA21" s="39"/>
      <c r="AB21" s="39"/>
      <c r="AC21" s="39"/>
    </row>
    <row r="22" spans="1:29" ht="23.25">
      <c r="A22" s="8" t="e">
        <f ca="1"/>
        <v>#NAME?</v>
      </c>
      <c r="B22" s="41" t="s">
        <v>45</v>
      </c>
      <c r="C22" s="4">
        <v>189251</v>
      </c>
      <c r="D22" s="4">
        <v>156605</v>
      </c>
      <c r="E22" s="1">
        <f>'ธ.ค. 68'!E22+D22</f>
        <v>614553</v>
      </c>
      <c r="F22" s="4">
        <v>115535</v>
      </c>
      <c r="G22" s="4">
        <v>9914</v>
      </c>
      <c r="H22" s="4">
        <f t="shared" si="0"/>
        <v>31156</v>
      </c>
      <c r="I22" s="60">
        <f>'ธ.ค. 68'!I22+H22</f>
        <v>133360.77000000002</v>
      </c>
      <c r="J22" s="4">
        <f t="shared" ref="J22:K22" si="19">(H22/D22)*100</f>
        <v>19.894639379330162</v>
      </c>
      <c r="K22" s="43">
        <f t="shared" si="19"/>
        <v>21.700450571390917</v>
      </c>
      <c r="L22" s="4"/>
      <c r="M22" s="51" t="s">
        <v>94</v>
      </c>
      <c r="N22" s="51" t="s">
        <v>95</v>
      </c>
      <c r="O22" s="39"/>
      <c r="P22" s="39"/>
      <c r="Q22" s="39"/>
      <c r="R22" s="39"/>
      <c r="S22" s="39">
        <v>31156</v>
      </c>
      <c r="T22" s="39">
        <v>19.894639379330162</v>
      </c>
      <c r="U22" s="39">
        <v>21.700450571390917</v>
      </c>
      <c r="V22" s="39"/>
      <c r="W22" s="39"/>
      <c r="X22" s="39"/>
      <c r="Y22" s="39"/>
      <c r="Z22" s="39"/>
      <c r="AA22" s="39"/>
      <c r="AB22" s="39"/>
      <c r="AC22" s="39"/>
    </row>
    <row r="23" spans="1:29" ht="23.25">
      <c r="A23" s="8" t="e">
        <f ca="1"/>
        <v>#NAME?</v>
      </c>
      <c r="B23" s="41" t="s">
        <v>46</v>
      </c>
      <c r="C23" s="4">
        <v>720084</v>
      </c>
      <c r="D23" s="4">
        <v>593629</v>
      </c>
      <c r="E23" s="1">
        <f>'ธ.ค. 68'!E23+D23</f>
        <v>2331935</v>
      </c>
      <c r="F23" s="4">
        <v>366954</v>
      </c>
      <c r="G23" s="4">
        <v>15486</v>
      </c>
      <c r="H23" s="4">
        <f t="shared" si="0"/>
        <v>211189</v>
      </c>
      <c r="I23" s="60">
        <f>'ธ.ค. 68'!I23+H23</f>
        <v>919646</v>
      </c>
      <c r="J23" s="4">
        <f t="shared" ref="J23:K23" si="20">(H23/D23)*100</f>
        <v>35.575923682973709</v>
      </c>
      <c r="K23" s="43">
        <f t="shared" si="20"/>
        <v>39.437034051120634</v>
      </c>
      <c r="L23" s="4"/>
      <c r="M23" s="44" t="s">
        <v>121</v>
      </c>
      <c r="N23" s="44" t="s">
        <v>122</v>
      </c>
      <c r="O23" s="39"/>
      <c r="P23" s="39"/>
      <c r="Q23" s="39"/>
      <c r="R23" s="39"/>
      <c r="S23" s="39">
        <v>282243</v>
      </c>
      <c r="T23" s="39">
        <v>42.514351303027517</v>
      </c>
      <c r="U23" s="39">
        <v>41.241653945598649</v>
      </c>
      <c r="V23" s="39"/>
      <c r="W23" s="39"/>
      <c r="X23" s="39"/>
      <c r="Y23" s="39"/>
      <c r="Z23" s="39"/>
      <c r="AA23" s="39"/>
      <c r="AB23" s="39"/>
      <c r="AC23" s="39"/>
    </row>
    <row r="24" spans="1:29" ht="23.25">
      <c r="A24" s="8" t="e">
        <f ca="1"/>
        <v>#NAME?</v>
      </c>
      <c r="B24" s="41" t="s">
        <v>47</v>
      </c>
      <c r="C24" s="4">
        <v>1836002</v>
      </c>
      <c r="D24" s="4">
        <v>1681037</v>
      </c>
      <c r="E24" s="1">
        <f>'ธ.ค. 68'!E24+D24</f>
        <v>6505229</v>
      </c>
      <c r="F24" s="4">
        <v>832653</v>
      </c>
      <c r="G24" s="4">
        <v>25000</v>
      </c>
      <c r="H24" s="4">
        <f t="shared" si="0"/>
        <v>823384</v>
      </c>
      <c r="I24" s="60">
        <f>'ธ.ค. 68'!I24+H24</f>
        <v>3236258</v>
      </c>
      <c r="J24" s="4">
        <f t="shared" ref="J24:K24" si="21">(H24/D24)*100</f>
        <v>48.980718449385705</v>
      </c>
      <c r="K24" s="43">
        <f t="shared" si="21"/>
        <v>49.748563809206409</v>
      </c>
      <c r="L24" s="4"/>
      <c r="M24" s="44"/>
      <c r="N24" s="4"/>
      <c r="O24" s="39"/>
      <c r="P24" s="39"/>
      <c r="Q24" s="39"/>
      <c r="R24" s="39"/>
      <c r="S24" s="39">
        <v>0</v>
      </c>
      <c r="T24" s="39" t="e">
        <v>#DIV/0!</v>
      </c>
      <c r="U24" s="39">
        <v>50.016127052986278</v>
      </c>
      <c r="V24" s="39"/>
      <c r="W24" s="39"/>
      <c r="X24" s="39"/>
      <c r="Y24" s="39"/>
      <c r="Z24" s="39"/>
      <c r="AA24" s="39"/>
      <c r="AB24" s="39"/>
      <c r="AC24" s="39"/>
    </row>
    <row r="25" spans="1:29" ht="23.25">
      <c r="A25" s="8" t="e">
        <f ca="1"/>
        <v>#NAME?</v>
      </c>
      <c r="B25" s="41" t="s">
        <v>48</v>
      </c>
      <c r="C25" s="4">
        <v>565043</v>
      </c>
      <c r="D25" s="4">
        <v>560894</v>
      </c>
      <c r="E25" s="1">
        <f>'ธ.ค. 68'!E25+D25</f>
        <v>2209669</v>
      </c>
      <c r="F25" s="4">
        <v>333862</v>
      </c>
      <c r="G25" s="4">
        <v>58002</v>
      </c>
      <c r="H25" s="4">
        <f t="shared" si="0"/>
        <v>169030</v>
      </c>
      <c r="I25" s="60">
        <f>'ธ.ค. 68'!I25+H25</f>
        <v>712364</v>
      </c>
      <c r="J25" s="4">
        <f t="shared" ref="J25:K25" si="22">(H25/D25)*100</f>
        <v>30.135818889130565</v>
      </c>
      <c r="K25" s="43">
        <f t="shared" si="22"/>
        <v>32.238493638639994</v>
      </c>
      <c r="L25" s="4"/>
      <c r="M25" s="44"/>
      <c r="N25" s="44" t="s">
        <v>99</v>
      </c>
      <c r="O25" s="39"/>
      <c r="P25" s="39"/>
      <c r="Q25" s="39"/>
      <c r="R25" s="39"/>
      <c r="S25" s="39">
        <v>162032</v>
      </c>
      <c r="T25" s="39">
        <v>28.888167817805151</v>
      </c>
      <c r="U25" s="39">
        <v>31.921794621728409</v>
      </c>
      <c r="V25" s="39"/>
      <c r="W25" s="39"/>
      <c r="X25" s="39"/>
      <c r="Y25" s="39"/>
      <c r="Z25" s="39"/>
      <c r="AA25" s="39"/>
      <c r="AB25" s="39"/>
      <c r="AC25" s="39"/>
    </row>
    <row r="26" spans="1:29" ht="23.25">
      <c r="A26" s="52">
        <v>23</v>
      </c>
      <c r="B26" s="53" t="s">
        <v>100</v>
      </c>
      <c r="C26" s="14">
        <f>SUM(C4:C25)</f>
        <v>44386155.739999995</v>
      </c>
      <c r="D26" s="14">
        <f>SUM(D4:D25)</f>
        <v>42439923.160000004</v>
      </c>
      <c r="E26" s="54">
        <f>SUM(E4:E25)</f>
        <v>165489544.79000002</v>
      </c>
      <c r="F26" s="14">
        <f t="shared" ref="F26:H26" si="23">SUM(F4:F25)</f>
        <v>29496052</v>
      </c>
      <c r="G26" s="14">
        <f t="shared" si="23"/>
        <v>1587756.39</v>
      </c>
      <c r="H26" s="14">
        <f t="shared" si="23"/>
        <v>11356114.770000001</v>
      </c>
      <c r="I26" s="54">
        <f>'ธ.ค. 68'!I26+H26</f>
        <v>46314565.899999999</v>
      </c>
      <c r="J26" s="14">
        <f t="shared" ref="J26:K26" si="24">(H26/D26)*100</f>
        <v>26.758094559189111</v>
      </c>
      <c r="K26" s="14">
        <f t="shared" si="24"/>
        <v>27.986399961865526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ht="23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23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23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23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23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ht="23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ht="23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ht="23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ht="23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ht="23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ht="23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ht="23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ht="23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spans="1:29" ht="23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ht="23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ht="23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ht="23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ht="23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ht="23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ht="23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ht="23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ht="23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ht="23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ht="23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ht="23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ht="23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ht="23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ht="23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ht="23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ht="23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ht="23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ht="23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ht="23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ht="23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ht="23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ht="23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ht="23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ht="23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ht="23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spans="1:29" ht="23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ht="23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ht="23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ht="23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ht="23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ht="23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ht="23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ht="23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ht="23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ht="23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ht="23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ht="23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ht="23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ht="23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ht="23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ht="23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ht="23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ht="23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ht="23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ht="23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ht="23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ht="23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23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23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ht="23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ht="23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ht="23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ht="23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ht="23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spans="1:29" ht="23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ht="23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ht="23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29" ht="23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29" ht="23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ht="23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ht="23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29" ht="23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spans="1:29" ht="23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spans="1:29" ht="23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spans="1:29" ht="23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spans="1:29" ht="23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spans="1:29" ht="23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29" ht="23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spans="1:29" ht="23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spans="1:29" ht="23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spans="1:29" ht="23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spans="1:29" ht="23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spans="1:29" ht="23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spans="1:29" ht="23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spans="1:29" ht="23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spans="1:29" ht="23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spans="1:29" ht="23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spans="1:29" ht="23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spans="1:29" ht="23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spans="1:29" ht="23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spans="1:29" ht="23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spans="1:29" ht="23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spans="1:29" ht="23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spans="1:29" ht="23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spans="1:29" ht="23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spans="1:29" ht="23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spans="1:29" ht="23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spans="1:29" ht="23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spans="1:29" ht="23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spans="1:29" ht="23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spans="1:29" ht="23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spans="1:29" ht="23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spans="1:29" ht="23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spans="1:29" ht="23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spans="1:29" ht="23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spans="1:29" ht="23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spans="1:29" ht="23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spans="1:29" ht="23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spans="1:29" ht="23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spans="1:29" ht="23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spans="1:29" ht="23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spans="1:29" ht="23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spans="1:29" ht="23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spans="1:29" ht="23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spans="1:29" ht="23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spans="1:29" ht="23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spans="1:29" ht="23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spans="1:29" ht="23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spans="1:29" ht="23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spans="1:29" ht="23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spans="1:29" ht="23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spans="1:29" ht="23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 spans="1:29" ht="23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 spans="1:29" ht="23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 spans="1:29" ht="23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 spans="1:29" ht="23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spans="1:29" ht="23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 spans="1:29" ht="23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 spans="1:29" ht="23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 spans="1:29" ht="23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 spans="1:29" ht="23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 spans="1:29" ht="23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 spans="1:29" ht="23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 spans="1:29" ht="23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 spans="1:29" ht="23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 spans="1:29" ht="23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 spans="1:29" ht="23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 spans="1:29" ht="23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 spans="1:29" ht="23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 spans="1:29" ht="23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 spans="1:29" ht="23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 spans="1:29" ht="23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 spans="1:29" ht="23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 spans="1:29" ht="23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 spans="1:29" ht="23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 spans="1:29" ht="23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 spans="1:29" ht="23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 spans="1:29" ht="23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 spans="1:29" ht="23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 spans="1:29" ht="23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 spans="1:29" ht="23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 spans="1:29" ht="23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 spans="1:29" ht="23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 spans="1:29" ht="23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 spans="1:29" ht="23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 spans="1:29" ht="23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 spans="1:29" ht="23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 spans="1:29" ht="23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 spans="1:29" ht="23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 spans="1:29" ht="23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spans="1:29" ht="23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 spans="1:29" ht="23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 spans="1:29" ht="23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 spans="1:29" ht="23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 spans="1:29" ht="23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 spans="1:29" ht="23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 spans="1:29" ht="23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 spans="1:29" ht="23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 spans="1:29" ht="23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 spans="1:29" ht="23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 spans="1:29" ht="23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 spans="1:29" ht="23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 spans="1:29" ht="23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 spans="1:29" ht="23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 spans="1:29" ht="23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 spans="1:29" ht="23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 spans="1:29" ht="23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 spans="1:29" ht="23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 spans="1:29" ht="23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 spans="1:29" ht="23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 spans="1:29" ht="23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 spans="1:29" ht="23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 spans="1:29" ht="23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 spans="1:29" ht="23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 spans="1:29" ht="23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 spans="1:29" ht="23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 spans="1:29" ht="23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 spans="1:29" ht="23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 spans="1:29" ht="23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 spans="1:29" ht="23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 spans="1:29" ht="23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 spans="1:29" ht="23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 spans="1:29" ht="23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 spans="1:29" ht="23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 spans="1:29" ht="23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 spans="1:29" ht="23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 spans="1:29" ht="23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 spans="1:29" ht="23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 spans="1:29" ht="23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spans="1:29" ht="23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 spans="1:29" ht="23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 spans="1:29" ht="23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 spans="1:29" ht="23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 spans="1:29" ht="23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 spans="1:29" ht="23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 spans="1:29" ht="23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 spans="1:29" ht="23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 spans="1:29" ht="23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 spans="1:29" ht="23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 spans="1:29" ht="23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 spans="1:29" ht="23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 spans="1:29" ht="23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 spans="1:29" ht="23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 spans="1:29" ht="23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 spans="1:29" ht="23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 spans="1:29" ht="23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 spans="1:29" ht="23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 spans="1:29" ht="23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 spans="1:29" ht="23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 spans="1:29" ht="23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 spans="1:29" ht="23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 spans="1:29" ht="23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 spans="1:29" ht="23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 spans="1:29" ht="23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 spans="1:29" ht="23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 spans="1:29" ht="23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 spans="1:29" ht="23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 spans="1:29" ht="23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 spans="1:29" ht="23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 spans="1:29" ht="23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spans="1:29" ht="23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spans="1:29" ht="23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 spans="1:29" ht="23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 spans="1:29" ht="23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 spans="1:29" ht="23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 spans="1:29" ht="23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 spans="1:29" ht="23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 spans="1:29" ht="23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 spans="1:29" ht="23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 spans="1:29" ht="23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 spans="1:29" ht="23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 spans="1:29" ht="23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 spans="1:29" ht="23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 spans="1:29" ht="23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 spans="1:29" ht="23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 spans="1:29" ht="23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 spans="1:29" ht="23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 spans="1:29" ht="23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 spans="1:29" ht="23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 spans="1:29" ht="23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 spans="1:29" ht="23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 spans="1:29" ht="23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 spans="1:29" ht="23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 spans="1:29" ht="23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 spans="1:29" ht="23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 spans="1:29" ht="23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 spans="1:29" ht="23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 spans="1:29" ht="23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 spans="1:29" ht="23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 spans="1:29" ht="23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 spans="1:29" ht="23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 spans="1:29" ht="23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 spans="1:29" ht="23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 spans="1:29" ht="23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 spans="1:29" ht="23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 spans="1:29" ht="23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 spans="1:29" ht="23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 spans="1:29" ht="23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 spans="1:29" ht="23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spans="1:29" ht="23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 spans="1:29" ht="23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 spans="1:29" ht="23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 spans="1:29" ht="23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 spans="1:29" ht="23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 spans="1:29" ht="23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 spans="1:29" ht="23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 spans="1:29" ht="23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 spans="1:29" ht="23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 spans="1:29" ht="23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 spans="1:29" ht="23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 spans="1:29" ht="23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 spans="1:29" ht="23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 spans="1:29" ht="23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 spans="1:29" ht="23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 spans="1:29" ht="23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 spans="1:29" ht="23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 spans="1:29" ht="23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 spans="1:29" ht="23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 spans="1:29" ht="23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 spans="1:29" ht="23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 spans="1:29" ht="23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 spans="1:29" ht="23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 spans="1:29" ht="23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spans="1:29" ht="23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spans="1:29" ht="23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spans="1:29" ht="23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spans="1:29" ht="23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spans="1:29" ht="23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spans="1:29" ht="23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spans="1:29" ht="23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spans="1:29" ht="23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spans="1:29" ht="23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 spans="1:29" ht="23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 spans="1:29" ht="23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 spans="1:29" ht="23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 spans="1:29" ht="23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 spans="1:29" ht="23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 spans="1:29" ht="23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 spans="1:29" ht="23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 spans="1:29" ht="23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 spans="1:29" ht="23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 spans="1:29" ht="23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 spans="1:29" ht="23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 spans="1:29" ht="23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 spans="1:29" ht="23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 spans="1:29" ht="23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 spans="1:29" ht="23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 spans="1:29" ht="23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 spans="1:29" ht="23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 spans="1:29" ht="23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 spans="1:29" ht="23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 spans="1:29" ht="23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 spans="1:29" ht="23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 spans="1:29" ht="23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 spans="1:29" ht="23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 spans="1:29" ht="23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 spans="1:29" ht="23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 spans="1:29" ht="23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 spans="1:29" ht="23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 spans="1:29" ht="23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 spans="1:29" ht="23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 spans="1:29" ht="23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 spans="1:29" ht="23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 spans="1:29" ht="23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 spans="1:29" ht="23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 spans="1:29" ht="23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 spans="1:29" ht="23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 spans="1:29" ht="23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 spans="1:29" ht="23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 spans="1:29" ht="23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 spans="1:29" ht="23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 spans="1:29" ht="23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 spans="1:29" ht="23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 spans="1:29" ht="23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 spans="1:29" ht="23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 spans="1:29" ht="23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 spans="1:29" ht="23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 spans="1:29" ht="23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 spans="1:29" ht="23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 spans="1:29" ht="23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 spans="1:29" ht="23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 spans="1:29" ht="23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 spans="1:29" ht="23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 spans="1:29" ht="23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 spans="1:29" ht="23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 spans="1:29" ht="23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 spans="1:29" ht="23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 spans="1:29" ht="23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 spans="1:29" ht="23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 spans="1:29" ht="23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 spans="1:29" ht="23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 spans="1:29" ht="23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 spans="1:29" ht="23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 spans="1:29" ht="23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 spans="1:29" ht="23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 spans="1:29" ht="23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 spans="1:29" ht="23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 spans="1:29" ht="23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 spans="1:29" ht="23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 spans="1:29" ht="23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 spans="1:29" ht="23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 spans="1:29" ht="23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 spans="1:29" ht="23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 spans="1:29" ht="23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 spans="1:29" ht="23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 spans="1:29" ht="23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 spans="1:29" ht="23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 spans="1:29" ht="23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 spans="1:29" ht="23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 spans="1:29" ht="23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 spans="1:29" ht="23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 spans="1:29" ht="23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 spans="1:29" ht="23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 spans="1:29" ht="23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 spans="1:29" ht="23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 spans="1:29" ht="23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 spans="1:29" ht="23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 spans="1:29" ht="23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 spans="1:29" ht="23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 spans="1:29" ht="23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 spans="1:29" ht="23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 spans="1:29" ht="23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 spans="1:29" ht="23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 spans="1:29" ht="23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 spans="1:29" ht="23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 spans="1:29" ht="23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 spans="1:29" ht="23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 spans="1:29" ht="23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 spans="1:29" ht="23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 spans="1:29" ht="23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 spans="1:29" ht="23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 spans="1:29" ht="23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 spans="1:29" ht="23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 spans="1:29" ht="23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 spans="1:29" ht="23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 spans="1:29" ht="23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 spans="1:29" ht="23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 spans="1:29" ht="23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 spans="1:29" ht="23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 spans="1:29" ht="23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 spans="1:29" ht="23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 spans="1:29" ht="23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 spans="1:29" ht="23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 spans="1:29" ht="23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 spans="1:29" ht="23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spans="1:29" ht="23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 spans="1:29" ht="23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 spans="1:29" ht="23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 spans="1:29" ht="23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 spans="1:29" ht="23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 spans="1:29" ht="23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 spans="1:29" ht="23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 spans="1:29" ht="23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 spans="1:29" ht="23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 spans="1:29" ht="23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 spans="1:29" ht="23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 spans="1:29" ht="23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 spans="1:29" ht="23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 spans="1:29" ht="23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 spans="1:29" ht="23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 spans="1:29" ht="23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 spans="1:29" ht="23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 spans="1:29" ht="23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 spans="1:29" ht="23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 spans="1:29" ht="23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 spans="1:29" ht="23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 spans="1:29" ht="23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 spans="1:29" ht="23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 spans="1:29" ht="23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 spans="1:29" ht="23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 spans="1:29" ht="23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 spans="1:29" ht="23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 spans="1:29" ht="23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 spans="1:29" ht="23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 spans="1:29" ht="23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 spans="1:29" ht="23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 spans="1:29" ht="23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spans="1:29" ht="23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spans="1:29" ht="23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 spans="1:29" ht="23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 spans="1:29" ht="23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 spans="1:29" ht="23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 spans="1:29" ht="23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 spans="1:29" ht="23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 spans="1:29" ht="23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 spans="1:29" ht="23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 spans="1:29" ht="23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 spans="1:29" ht="23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 spans="1:29" ht="23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 spans="1:29" ht="23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 spans="1:29" ht="23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 spans="1:29" ht="23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 spans="1:29" ht="23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 spans="1:29" ht="23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 spans="1:29" ht="23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 spans="1:29" ht="23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 spans="1:29" ht="23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 spans="1:29" ht="23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 spans="1:29" ht="23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 spans="1:29" ht="23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 spans="1:29" ht="23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 spans="1:29" ht="23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 spans="1:29" ht="23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 spans="1:29" ht="23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 spans="1:29" ht="23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 spans="1:29" ht="23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 spans="1:29" ht="23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 spans="1:29" ht="23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 spans="1:29" ht="23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 spans="1:29" ht="23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 spans="1:29" ht="23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 spans="1:29" ht="23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 spans="1:29" ht="23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 spans="1:29" ht="23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 spans="1:29" ht="23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 spans="1:29" ht="23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 spans="1:29" ht="23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 spans="1:29" ht="23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 spans="1:29" ht="23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 spans="1:29" ht="23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 spans="1:29" ht="23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 spans="1:29" ht="23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 spans="1:29" ht="23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 spans="1:29" ht="23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 spans="1:29" ht="23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 spans="1:29" ht="23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 spans="1:29" ht="23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 spans="1:29" ht="23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 spans="1:29" ht="23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 spans="1:29" ht="23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 spans="1:29" ht="23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 spans="1:29" ht="23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 spans="1:29" ht="23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 spans="1:29" ht="23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 spans="1:29" ht="23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 spans="1:29" ht="23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 spans="1:29" ht="23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 spans="1:29" ht="23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 spans="1:29" ht="23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 spans="1:29" ht="23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 spans="1:29" ht="23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 spans="1:29" ht="23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 spans="1:29" ht="23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 spans="1:29" ht="23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 spans="1:29" ht="23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 spans="1:29" ht="23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 spans="1:29" ht="23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 spans="1:29" ht="23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 spans="1:29" ht="23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 spans="1:29" ht="23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 spans="1:29" ht="23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 spans="1:29" ht="23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 spans="1:29" ht="23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 spans="1:29" ht="23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 spans="1:29" ht="23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 spans="1:29" ht="23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 spans="1:29" ht="23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 spans="1:29" ht="23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 spans="1:29" ht="23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 spans="1:29" ht="23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 spans="1:29" ht="23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 spans="1:29" ht="23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spans="1:29" ht="23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spans="1:29" ht="23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spans="1:29" ht="23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spans="1:29" ht="23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spans="1:29" ht="23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spans="1:29" ht="23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spans="1:29" ht="23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spans="1:29" ht="23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spans="1:29" ht="23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spans="1:29" ht="23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spans="1:29" ht="23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spans="1:29" ht="23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spans="1:29" ht="23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spans="1:29" ht="23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spans="1:29" ht="23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spans="1:29" ht="23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spans="1:29" ht="23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spans="1:29" ht="23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spans="1:29" ht="23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spans="1:29" ht="23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spans="1:29" ht="23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spans="1:29" ht="23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spans="1:29" ht="23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spans="1:29" ht="23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spans="1:29" ht="23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spans="1:29" ht="23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spans="1:29" ht="23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spans="1:29" ht="23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spans="1:29" ht="23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spans="1:29" ht="23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spans="1:29" ht="23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spans="1:29" ht="23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spans="1:29" ht="23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spans="1:29" ht="23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spans="1:29" ht="23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spans="1:29" ht="23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spans="1:29" ht="23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spans="1:29" ht="23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spans="1:29" ht="23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spans="1:29" ht="23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spans="1:29" ht="23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spans="1:29" ht="23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spans="1:29" ht="23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spans="1:29" ht="23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spans="1:29" ht="23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spans="1:29" ht="23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spans="1:29" ht="23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spans="1:29" ht="23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spans="1:29" ht="23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spans="1:29" ht="23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spans="1:29" ht="23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spans="1:29" ht="23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spans="1:29" ht="23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spans="1:29" ht="23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spans="1:29" ht="23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spans="1:29" ht="23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spans="1:29" ht="23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spans="1:29" ht="23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spans="1:29" ht="23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spans="1:29" ht="23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spans="1:29" ht="23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spans="1:29" ht="23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spans="1:29" ht="23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spans="1:29" ht="23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spans="1:29" ht="23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spans="1:29" ht="23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spans="1:29" ht="23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spans="1:29" ht="23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spans="1:29" ht="23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spans="1:29" ht="23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spans="1:29" ht="23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spans="1:29" ht="23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spans="1:29" ht="23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spans="1:29" ht="23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spans="1:29" ht="23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spans="1:29" ht="23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spans="1:29" ht="23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spans="1:29" ht="23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spans="1:29" ht="23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spans="1:29" ht="23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spans="1:29" ht="23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spans="1:29" ht="23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spans="1:29" ht="23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spans="1:29" ht="23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spans="1:29" ht="23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spans="1:29" ht="23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spans="1:29" ht="23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spans="1:29" ht="23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spans="1:29" ht="23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spans="1:29" ht="23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spans="1:29" ht="23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spans="1:29" ht="23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spans="1:29" ht="23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spans="1:29" ht="23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spans="1:29" ht="23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spans="1:29" ht="23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spans="1:29" ht="23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spans="1:29" ht="23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spans="1:29" ht="23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spans="1:29" ht="23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spans="1:29" ht="23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spans="1:29" ht="23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spans="1:29" ht="23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spans="1:29" ht="23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spans="1:29" ht="23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spans="1:29" ht="23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spans="1:29" ht="23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spans="1:29" ht="23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spans="1:29" ht="23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spans="1:29" ht="23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spans="1:29" ht="23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spans="1:29" ht="23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spans="1:29" ht="23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spans="1:29" ht="23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spans="1:29" ht="23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spans="1:29" ht="23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spans="1:29" ht="23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spans="1:29" ht="23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spans="1:29" ht="23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spans="1:29" ht="23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spans="1:29" ht="23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spans="1:29" ht="23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spans="1:29" ht="23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spans="1:29" ht="23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spans="1:29" ht="23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spans="1:29" ht="23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spans="1:29" ht="23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spans="1:29" ht="23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spans="1:29" ht="23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spans="1:29" ht="23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spans="1:29" ht="23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spans="1:29" ht="23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spans="1:29" ht="23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spans="1:29" ht="23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spans="1:29" ht="23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spans="1:29" ht="23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spans="1:29" ht="23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spans="1:29" ht="23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spans="1:29" ht="23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spans="1:29" ht="23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spans="1:29" ht="23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spans="1:29" ht="23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spans="1:29" ht="23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spans="1:29" ht="23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spans="1:29" ht="23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spans="1:29" ht="23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spans="1:29" ht="23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spans="1:29" ht="23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spans="1:29" ht="23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spans="1:29" ht="23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spans="1:29" ht="23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spans="1:29" ht="23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spans="1:29" ht="23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spans="1:29" ht="23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spans="1:29" ht="23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spans="1:29" ht="23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spans="1:29" ht="23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spans="1:29" ht="23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spans="1:29" ht="23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spans="1:29" ht="23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spans="1:29" ht="23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spans="1:29" ht="23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spans="1:29" ht="23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spans="1:29" ht="23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spans="1:29" ht="23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spans="1:29" ht="23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spans="1:29" ht="23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spans="1:29" ht="23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spans="1:29" ht="23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spans="1:29" ht="23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spans="1:29" ht="23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spans="1:29" ht="23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spans="1:29" ht="23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spans="1:29" ht="23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spans="1:29" ht="23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spans="1:29" ht="23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spans="1:29" ht="23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spans="1:29" ht="23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spans="1:29" ht="23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spans="1:29" ht="23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spans="1:29" ht="23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spans="1:29" ht="23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spans="1:29" ht="23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spans="1:29" ht="23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spans="1:29" ht="23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spans="1:29" ht="23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spans="1:29" ht="23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spans="1:29" ht="23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spans="1:29" ht="23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spans="1:29" ht="23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spans="1:29" ht="23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spans="1:29" ht="23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spans="1:29" ht="23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spans="1:29" ht="23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spans="1:29" ht="23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spans="1:29" ht="23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spans="1:29" ht="23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spans="1:29" ht="23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spans="1:29" ht="23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spans="1:29" ht="23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spans="1:29" ht="23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spans="1:29" ht="23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spans="1:29" ht="23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spans="1:29" ht="23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spans="1:29" ht="23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spans="1:29" ht="23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spans="1:29" ht="23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spans="1:29" ht="23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spans="1:29" ht="23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spans="1:29" ht="23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spans="1:29" ht="23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spans="1:29" ht="23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spans="1:29" ht="23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spans="1:29" ht="23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spans="1:29" ht="23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spans="1:29" ht="23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spans="1:29" ht="23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spans="1:29" ht="23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spans="1:29" ht="23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spans="1:29" ht="23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spans="1:29" ht="23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spans="1:29" ht="23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spans="1:29" ht="23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spans="1:29" ht="23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spans="1:29" ht="23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spans="1:29" ht="23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spans="1:29" ht="23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spans="1:29" ht="23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spans="1:29" ht="23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spans="1:29" ht="23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spans="1:29" ht="23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spans="1:29" ht="23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spans="1:29" ht="23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spans="1:29" ht="23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spans="1:29" ht="23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spans="1:29" ht="23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spans="1:29" ht="23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spans="1:29" ht="23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spans="1:29" ht="23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spans="1:29" ht="23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spans="1:29" ht="23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spans="1:29" ht="23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spans="1:29" ht="23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spans="1:29" ht="23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spans="1:29" ht="23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spans="1:29" ht="23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spans="1:29" ht="23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spans="1:29" ht="23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spans="1:29" ht="23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spans="1:29" ht="23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spans="1:29" ht="23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spans="1:29" ht="23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spans="1:29" ht="23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spans="1:29" ht="23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spans="1:29" ht="23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spans="1:29" ht="23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spans="1:29" ht="23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spans="1:29" ht="23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spans="1:29" ht="23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spans="1:29" ht="23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spans="1:29" ht="23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spans="1:29" ht="23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spans="1:29" ht="23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spans="1:29" ht="23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spans="1:29" ht="23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spans="1:29" ht="23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spans="1:29" ht="23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spans="1:29" ht="23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spans="1:29" ht="23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spans="1:29" ht="23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spans="1:29" ht="23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spans="1:29" ht="23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spans="1:29" ht="23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spans="1:29" ht="23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spans="1:29" ht="23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spans="1:29" ht="23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spans="1:29" ht="23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spans="1:29" ht="23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spans="1:29" ht="23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spans="1:29" ht="23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spans="1:29" ht="23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spans="1:29" ht="23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spans="1:29" ht="23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spans="1:29" ht="23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spans="1:29" ht="23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spans="1:29" ht="23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spans="1:29" ht="23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spans="1:29" ht="23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spans="1:29" ht="23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spans="1:29" ht="23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spans="1:29" ht="23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spans="1:29" ht="23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spans="1:29" ht="23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spans="1:29" ht="23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spans="1:29" ht="23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spans="1:29" ht="23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spans="1:29" ht="23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spans="1:29" ht="23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spans="1:29" ht="23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spans="1:29" ht="23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spans="1:29" ht="23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spans="1:29" ht="23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spans="1:29" ht="23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spans="1:29" ht="23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spans="1:29" ht="23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spans="1:29" ht="23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spans="1:29" ht="23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spans="1:29" ht="23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spans="1:29" ht="23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spans="1:29" ht="23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spans="1:29" ht="23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spans="1:29" ht="23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spans="1:29" ht="23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spans="1:29" ht="23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spans="1:29" ht="23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spans="1:29" ht="23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spans="1:29" ht="23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spans="1:29" ht="23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spans="1:29" ht="23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spans="1:29" ht="23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spans="1:29" ht="23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spans="1:29" ht="23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spans="1:29" ht="23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spans="1:29" ht="23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spans="1:29" ht="23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spans="1:29" ht="23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spans="1:29" ht="23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spans="1:29" ht="23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spans="1:29" ht="23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spans="1:29" ht="23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spans="1:29" ht="23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spans="1:29" ht="23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spans="1:29" ht="23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spans="1:29" ht="23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spans="1:29" ht="23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spans="1:29" ht="23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spans="1:29" ht="23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spans="1:29" ht="23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spans="1:29" ht="23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spans="1:29" ht="23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spans="1:29" ht="23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spans="1:29" ht="23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spans="1:29" ht="23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spans="1:29" ht="23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spans="1:29" ht="23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spans="1:29" ht="23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spans="1:29" ht="23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spans="1:29" ht="23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spans="1:29" ht="23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spans="1:29" ht="23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spans="1:29" ht="23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spans="1:29" ht="23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spans="1:29" ht="23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spans="1:29" ht="23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spans="1:29" ht="23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spans="1:29" ht="23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spans="1:29" ht="23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spans="1:29" ht="23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spans="1:29" ht="23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spans="1:29" ht="23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spans="1:29" ht="23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spans="1:29" ht="23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spans="1:29" ht="23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spans="1:29" ht="23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spans="1:29" ht="23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spans="1:29" ht="23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spans="1:29" ht="23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spans="1:29" ht="23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spans="1:29" ht="23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spans="1:29" ht="23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spans="1:29" ht="23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spans="1:29" ht="23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spans="1:29" ht="23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spans="1:29" ht="23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spans="1:29" ht="23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spans="1:29" ht="23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spans="1:29" ht="23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spans="1:29" ht="23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spans="1:29" ht="23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spans="1:29" ht="23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spans="1:29" ht="23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spans="1:29" ht="23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spans="1:29" ht="23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spans="1:29" ht="23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spans="1:29" ht="23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spans="1:29" ht="23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spans="1:29" ht="23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spans="1:29" ht="23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spans="1:29" ht="23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spans="1:29" ht="23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spans="1:29" ht="23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spans="1:29" ht="23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spans="1:29" ht="23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spans="1:29" ht="23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spans="1:29" ht="23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spans="1:29" ht="23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spans="1:29" ht="23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spans="1:29" ht="23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spans="1:29" ht="23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spans="1:29" ht="23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spans="1:29" ht="23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spans="1:29" ht="23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spans="1:29" ht="23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 spans="1:29" ht="23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 spans="1:29" ht="23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 spans="1:29" ht="23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 spans="1:29" ht="23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 spans="1:29" ht="23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 spans="1:29" ht="23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 spans="1:29" ht="23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 spans="1:29" ht="23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 spans="1:29" ht="23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 spans="1:29" ht="23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 spans="1:29" ht="23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 spans="1:29" ht="23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 spans="1:29" ht="23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 spans="1:29" ht="23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 spans="1:29" ht="23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 spans="1:29" ht="23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 spans="1:29" ht="23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 spans="1:29" ht="23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 spans="1:29" ht="23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 spans="1:29" ht="23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 spans="1:29" ht="23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 spans="1:29" ht="23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 spans="1:29" ht="23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 spans="1:29" ht="23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 spans="1:29" ht="23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 spans="1:29" ht="23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 spans="1:29" ht="23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 spans="1:29" ht="23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 spans="1:29" ht="23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 spans="1:29" ht="23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 spans="1:29" ht="23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 spans="1:29" ht="23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 spans="1:29" ht="23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 spans="1:29" ht="23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 spans="1:29" ht="23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2:G1000">
    <cfRule type="cellIs" dxfId="0" priority="1" operator="greaterThan">
      <formula>100000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อัตรา</vt:lpstr>
      <vt:lpstr>ปริมาณ</vt:lpstr>
      <vt:lpstr>ต.ค.68</vt:lpstr>
      <vt:lpstr>พ.ย. 68</vt:lpstr>
      <vt:lpstr>ธ.ค. 68</vt:lpstr>
      <vt:lpstr>ม.ค. 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Prayoon Si</dc:creator>
  <cp:lastModifiedBy>Prayoon Si</cp:lastModifiedBy>
  <dcterms:created xsi:type="dcterms:W3CDTF">2026-03-06T13:39:02Z</dcterms:created>
  <dcterms:modified xsi:type="dcterms:W3CDTF">2026-03-06T13:39:02Z</dcterms:modified>
</cp:coreProperties>
</file>