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ราฟ" sheetId="1" r:id="rId5"/>
    <sheet state="visible" name="ต.ค.67" sheetId="2" r:id="rId6"/>
    <sheet state="visible" name="พ.ย.67" sheetId="3" r:id="rId7"/>
    <sheet state="visible" name="ธ.ค.67" sheetId="4" r:id="rId8"/>
    <sheet state="visible" name="ม.ค.68" sheetId="5" r:id="rId9"/>
    <sheet state="visible" name="ก.พ.68" sheetId="6" r:id="rId10"/>
    <sheet state="visible" name="มี.ค.68" sheetId="7" r:id="rId11"/>
    <sheet state="visible" name="เม.ย.68" sheetId="8" r:id="rId12"/>
    <sheet state="visible" name="พ.ค.68" sheetId="9" r:id="rId13"/>
    <sheet state="visible" name="มิ.ย.68" sheetId="10" r:id="rId14"/>
    <sheet state="visible" name="ก.ค.68" sheetId="11" r:id="rId15"/>
    <sheet state="visible" name="ส.ค.68" sheetId="12" r:id="rId16"/>
    <sheet state="visible" name="ก.ย.68" sheetId="13" r:id="rId17"/>
    <sheet state="hidden" name="ต.ค.68" sheetId="14" r:id="rId18"/>
    <sheet state="hidden" name="พ.ย.68" sheetId="15" r:id="rId19"/>
    <sheet state="hidden" name="ธ.ค.68" sheetId="16" r:id="rId20"/>
    <sheet state="hidden" name="ม.ค.69" sheetId="17" r:id="rId21"/>
    <sheet state="hidden" name="ก.พ.69" sheetId="18" r:id="rId22"/>
  </sheets>
  <definedNames/>
  <calcPr/>
</workbook>
</file>

<file path=xl/sharedStrings.xml><?xml version="1.0" encoding="utf-8"?>
<sst xmlns="http://schemas.openxmlformats.org/spreadsheetml/2006/main" count="896" uniqueCount="122">
  <si>
    <t>ต.ค. 67</t>
  </si>
  <si>
    <t>พ.ย. 67</t>
  </si>
  <si>
    <t>ธ.ค. 67</t>
  </si>
  <si>
    <t>ม.ค. 68</t>
  </si>
  <si>
    <t>ก.พ. 68</t>
  </si>
  <si>
    <t>มี.ค. 68</t>
  </si>
  <si>
    <t>เม.ย. 68</t>
  </si>
  <si>
    <t>พ.ค. 68</t>
  </si>
  <si>
    <t>มิ.ย. 68</t>
  </si>
  <si>
    <t>ก.ค. 68</t>
  </si>
  <si>
    <t>ส.ค. 68</t>
  </si>
  <si>
    <t>ก.ย. 68</t>
  </si>
  <si>
    <t>ชลบุรี (พ)</t>
  </si>
  <si>
    <t>พัทยา (พ)</t>
  </si>
  <si>
    <t>บ้านบึง</t>
  </si>
  <si>
    <t>พนัสนิคม</t>
  </si>
  <si>
    <t>ศรีราชา</t>
  </si>
  <si>
    <t>แหลมฉบัง</t>
  </si>
  <si>
    <t>ฉะเชิงเทรา</t>
  </si>
  <si>
    <t>บางปะกง</t>
  </si>
  <si>
    <t>บางคล้า</t>
  </si>
  <si>
    <t>พนมสารคาม</t>
  </si>
  <si>
    <t>ระยอง</t>
  </si>
  <si>
    <t>บ้านฉาง</t>
  </si>
  <si>
    <t>ปากน้ำประแสร์</t>
  </si>
  <si>
    <t>จันทบุรี</t>
  </si>
  <si>
    <t>ขลุง</t>
  </si>
  <si>
    <t>ตราด</t>
  </si>
  <si>
    <t>คลองใหญ่</t>
  </si>
  <si>
    <t>สระแก้ว</t>
  </si>
  <si>
    <t>วัฒนานคร</t>
  </si>
  <si>
    <t>อรัญประเทศ</t>
  </si>
  <si>
    <t>ปราจีนบุรี</t>
  </si>
  <si>
    <t>กบินทร์บุรี</t>
  </si>
  <si>
    <t>ภาพรวม กปภ.ข.1</t>
  </si>
  <si>
    <t>ข้อมูลน้ำสูญเสียตัวจริงที่ใช้ในการบริหารของ กปภ.เขต 1 เดือนตุลาคม 2567</t>
  </si>
  <si>
    <t>ลำดับ</t>
  </si>
  <si>
    <t>กปภ.สาขา</t>
  </si>
  <si>
    <t>น้ำผลิตรวมจริง</t>
  </si>
  <si>
    <t>น้ำผลิตจ่ายสุทธิจริง</t>
  </si>
  <si>
    <t>น้ำจำหน่ายจริง</t>
  </si>
  <si>
    <t>น้ำ Blow off จริง</t>
  </si>
  <si>
    <t>น้ำสูญเสียจริง</t>
  </si>
  <si>
    <t>หมายเหตุ</t>
  </si>
  <si>
    <t>(ลบ.ม.)</t>
  </si>
  <si>
    <t>ปริมาณ (ลบ.ม.)</t>
  </si>
  <si>
    <t>อัตรา (%)</t>
  </si>
  <si>
    <t>น้ำล้างเส้นท่อ-ทดสอบท่อใหม่ (531,778 ลบ.ม.</t>
  </si>
  <si>
    <t>รวม กปภ.ข.1</t>
  </si>
  <si>
    <t>ข้อมูลน้ำสูญเสียตัวจริงที่ใช้ในการบริหารของ กปภ.เขต 1 เดือนพฤศจิกายน 2567</t>
  </si>
  <si>
    <t>ผู้ลงข้อมูล</t>
  </si>
  <si>
    <t>เบอร์ติดต่อ</t>
  </si>
  <si>
    <t>พนัมสารคาม</t>
  </si>
  <si>
    <t>ข้อมูลน้ำสูญเสียตัวจริงที่ใช้ในการบริหารของ กปภ.เขต 1 เดือนธันวาคม 2567</t>
  </si>
  <si>
    <t>ข้อมูลน้ำสูญเสียตัวจริงที่ใช้ในการบริหารของ กปภ.เขต 1 เดือนมกราคม 2568</t>
  </si>
  <si>
    <t>ข้อมูลน้ำสูญเสียตัวจริงที่ใช้ในการบริหารของ กปภ.เขต 1 เดือนกุมภาพันธ์ 2568</t>
  </si>
  <si>
    <t>ข้อมูลน้ำสูญเสียตัวจริงที่ใช้ในการบริหารของ กปภ.เขต 1 เดือนมีนาคม 2568</t>
  </si>
  <si>
    <t>ข้อมูลน้ำสูญเสียตัวจริงที่ใช้ในการบริหารของ กปภ.เขต 1 เดือนเมษายน 2568</t>
  </si>
  <si>
    <t>ธีรภัทร์ วงษ์จันนา</t>
  </si>
  <si>
    <t>084-095-6569</t>
  </si>
  <si>
    <t>นิลาวัลย์</t>
  </si>
  <si>
    <t>099-016-3648</t>
  </si>
  <si>
    <t>ธนกฤต เล็กตระกูลชัย</t>
  </si>
  <si>
    <t>083-767-4284</t>
  </si>
  <si>
    <t>ธนชนัญ สิทธิเวช</t>
  </si>
  <si>
    <t>083-014-1725</t>
  </si>
  <si>
    <t>จีรพงศ์  พึ่งเกษม</t>
  </si>
  <si>
    <t>085-115-6645</t>
  </si>
  <si>
    <t>สมยศ นาคอุไร</t>
  </si>
  <si>
    <t>081-248-5959</t>
  </si>
  <si>
    <t>จตุพร</t>
  </si>
  <si>
    <t>096-669-5536</t>
  </si>
  <si>
    <t>ไพรชยนต์ ไชยลิ้นฟ้า</t>
  </si>
  <si>
    <t>091-4685354</t>
  </si>
  <si>
    <t>กัญญารัตน์ ศรีอุดม</t>
  </si>
  <si>
    <t>สุทธิพงศ์ นิลเพ็ชร</t>
  </si>
  <si>
    <t>ภาณุพัฒน์ ศรีวงษา</t>
  </si>
  <si>
    <t>095-8574448</t>
  </si>
  <si>
    <t>ข้อมูลน้ำสูญเสียตัวจริงที่ใช้ในการบริหารของ กปภ.เขต 1 เดือนพฤษภาคม 2568</t>
  </si>
  <si>
    <t>บริพัฒน์  คมดี</t>
  </si>
  <si>
    <t>092-501-3245</t>
  </si>
  <si>
    <t>จิราพัชร</t>
  </si>
  <si>
    <t>064-3963619</t>
  </si>
  <si>
    <t>085-1156645</t>
  </si>
  <si>
    <t>092-6658041</t>
  </si>
  <si>
    <t>097-005-9909</t>
  </si>
  <si>
    <t>ฉัตรชัย จันทร์สงค์</t>
  </si>
  <si>
    <t>พัฒนพณ นรสิงห์</t>
  </si>
  <si>
    <t>064-240-7555</t>
  </si>
  <si>
    <t xml:space="preserve">ข้อมูลน้ำสูญเสียตัวจริงที่ใช้ในการบริหารของ กปภ.เขต 1 เดือนมิถุนายน 2568                                                                </t>
  </si>
  <si>
    <t>083-0141725</t>
  </si>
  <si>
    <t>ไพรชยนต์</t>
  </si>
  <si>
    <r>
      <rPr>
        <rFont val="TH SarabunPSK"/>
        <color theme="1"/>
        <sz val="16.0"/>
      </rPr>
      <t>พัฒนพณ</t>
    </r>
    <r>
      <rPr>
        <rFont val="TH SarabunPSK"/>
        <color theme="1"/>
        <sz val="16.0"/>
      </rPr>
      <t xml:space="preserve"> นรสิงห์</t>
    </r>
  </si>
  <si>
    <t>06-42407555</t>
  </si>
  <si>
    <t>จีิราพัชร ปั้นชู</t>
  </si>
  <si>
    <t>นายวันเฉลิม เวียงนนท์</t>
  </si>
  <si>
    <t>081-369-8451</t>
  </si>
  <si>
    <t>นายฉัตรชัย จันทร์สงค์</t>
  </si>
  <si>
    <t>064-2407555</t>
  </si>
  <si>
    <t>อุดมพร ปะระคะ</t>
  </si>
  <si>
    <t>098-9095654</t>
  </si>
  <si>
    <t>จิราพัชร ปั้นชู</t>
  </si>
  <si>
    <t>จตุพร เปี่ยมพงศ์สานต์</t>
  </si>
  <si>
    <t>กัญญารัตน์</t>
  </si>
  <si>
    <t xml:space="preserve">ฉัตรชัย </t>
  </si>
  <si>
    <t>อภิรัติ เครืออนันต์</t>
  </si>
  <si>
    <t>082-2077831</t>
  </si>
  <si>
    <t>ยศภัทร อยู่สอน</t>
  </si>
  <si>
    <t>084-5315332</t>
  </si>
  <si>
    <t>ปัทมา สาริกาแก้ว</t>
  </si>
  <si>
    <t>08-6975-3781</t>
  </si>
  <si>
    <t>.</t>
  </si>
  <si>
    <t>092-665-8041</t>
  </si>
  <si>
    <t>082-207-7831</t>
  </si>
  <si>
    <t>ณัฐวุฒิ อ่างเข็ม</t>
  </si>
  <si>
    <t>090-9099277</t>
  </si>
  <si>
    <t>ธีทัต ลีอุดม</t>
  </si>
  <si>
    <t>081-7232595</t>
  </si>
  <si>
    <t>สุทธิรักษ์ รอบคอบ</t>
  </si>
  <si>
    <t>091-873-6353</t>
  </si>
  <si>
    <t>นายภาณุพัฒน์ ศรีวงษา</t>
  </si>
  <si>
    <t>096-6695536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</si>
</sst>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4.0"/>
      <color theme="1"/>
      <name val="Sarabun"/>
    </font>
    <font>
      <sz val="16.0"/>
      <color rgb="FF000000"/>
      <name val="Sarabun"/>
    </font>
    <font>
      <sz val="16.0"/>
      <color theme="1"/>
      <name val="Sarabun"/>
    </font>
    <font>
      <sz val="16.0"/>
      <color theme="1"/>
      <name val="TH SarabunPSK"/>
    </font>
    <font/>
    <font>
      <sz val="16.0"/>
      <color rgb="FF000000"/>
      <name val="&quot;TH SarabunPSK&quot;"/>
    </font>
    <font>
      <sz val="16.0"/>
      <color rgb="FF000000"/>
      <name val="TH SarabunPSK"/>
    </font>
    <font>
      <b/>
      <sz val="16.0"/>
      <color theme="1"/>
      <name val="TH SarabunPSK"/>
    </font>
    <font>
      <color theme="1"/>
      <name val="Arial"/>
    </font>
    <font>
      <sz val="14.0"/>
      <color rgb="FF000000"/>
      <name val="TH SarabunPSK"/>
    </font>
    <font>
      <sz val="14.0"/>
      <color rgb="FF1F497D"/>
      <name val="TH SarabunPSK"/>
    </font>
    <font>
      <sz val="18.0"/>
      <color theme="1"/>
      <name val="TH SarabunPSK"/>
    </font>
    <font>
      <sz val="14.0"/>
      <color theme="1"/>
      <name val="TH SarabunPSK"/>
    </font>
    <font>
      <color theme="1"/>
      <name val="Arial"/>
      <scheme val="minor"/>
    </font>
    <font>
      <sz val="15.0"/>
      <color rgb="FF000000"/>
      <name val="TH SarabunPSK"/>
    </font>
    <font>
      <sz val="16.0"/>
      <color rgb="FF1F497D"/>
      <name val="TH SarabunPSK"/>
    </font>
    <font>
      <sz val="15.0"/>
      <color theme="1"/>
      <name val="TH SarabunPSK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0" fillId="0" fontId="3" numFmtId="0" xfId="0" applyFont="1"/>
    <xf borderId="1" fillId="0" fontId="3" numFmtId="0" xfId="0" applyAlignment="1" applyBorder="1" applyFont="1">
      <alignment horizontal="center" readingOrder="0" vertical="center"/>
    </xf>
    <xf borderId="1" fillId="0" fontId="3" numFmtId="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 vertical="center"/>
    </xf>
    <xf borderId="1" fillId="0" fontId="3" numFmtId="4" xfId="0" applyAlignment="1" applyBorder="1" applyFont="1" applyNumberFormat="1">
      <alignment horizontal="center" vertical="center"/>
    </xf>
    <xf borderId="1" fillId="0" fontId="4" numFmtId="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10" xfId="0" applyAlignment="1" applyFont="1" applyNumberFormat="1">
      <alignment horizontal="center" vertical="center"/>
    </xf>
    <xf borderId="3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2" fontId="4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2" fillId="0" fontId="5" numFmtId="0" xfId="0" applyBorder="1" applyFont="1"/>
    <xf borderId="5" fillId="0" fontId="5" numFmtId="0" xfId="0" applyBorder="1" applyFont="1"/>
    <xf borderId="1" fillId="0" fontId="6" numFmtId="4" xfId="0" applyAlignment="1" applyBorder="1" applyFont="1" applyNumberFormat="1">
      <alignment horizontal="center" readingOrder="0" shrinkToFit="0" wrapText="0"/>
    </xf>
    <xf borderId="2" fillId="0" fontId="6" numFmtId="4" xfId="0" applyAlignment="1" applyBorder="1" applyFont="1" applyNumberFormat="1">
      <alignment horizontal="center" readingOrder="0" shrinkToFit="0" wrapText="0"/>
    </xf>
    <xf borderId="2" fillId="2" fontId="6" numFmtId="4" xfId="0" applyAlignment="1" applyBorder="1" applyFont="1" applyNumberFormat="1">
      <alignment horizontal="center" readingOrder="0" shrinkToFit="0" wrapText="0"/>
    </xf>
    <xf borderId="1" fillId="0" fontId="4" numFmtId="0" xfId="0" applyAlignment="1" applyBorder="1" applyFont="1">
      <alignment horizontal="center" vertical="center"/>
    </xf>
    <xf borderId="1" fillId="0" fontId="4" numFmtId="4" xfId="0" applyAlignment="1" applyBorder="1" applyFont="1" applyNumberFormat="1">
      <alignment horizontal="center" readingOrder="0" vertical="center"/>
    </xf>
    <xf borderId="1" fillId="2" fontId="4" numFmtId="4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4" xfId="0" applyAlignment="1" applyBorder="1" applyFont="1" applyNumberFormat="1">
      <alignment horizontal="center" readingOrder="0" vertical="center"/>
    </xf>
    <xf borderId="1" fillId="2" fontId="7" numFmtId="4" xfId="0" applyAlignment="1" applyBorder="1" applyFont="1" applyNumberFormat="1">
      <alignment horizontal="center" readingOrder="0" vertical="center"/>
    </xf>
    <xf borderId="1" fillId="0" fontId="7" numFmtId="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10" xfId="0" applyAlignment="1" applyFont="1" applyNumberFormat="1">
      <alignment horizontal="center" vertical="center"/>
    </xf>
    <xf borderId="4" fillId="0" fontId="8" numFmtId="0" xfId="0" applyAlignment="1" applyBorder="1" applyFont="1">
      <alignment horizontal="center"/>
    </xf>
    <xf borderId="1" fillId="0" fontId="4" numFmtId="4" xfId="0" applyAlignment="1" applyBorder="1" applyFont="1" applyNumberFormat="1">
      <alignment horizontal="center"/>
    </xf>
    <xf borderId="1" fillId="0" fontId="9" numFmtId="0" xfId="0" applyBorder="1" applyFont="1"/>
    <xf borderId="0" fillId="2" fontId="4" numFmtId="0" xfId="0" applyAlignment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1" fillId="0" fontId="4" numFmtId="4" xfId="0" applyAlignment="1" applyBorder="1" applyFont="1" applyNumberFormat="1">
      <alignment horizontal="center" readingOrder="0"/>
    </xf>
    <xf borderId="4" fillId="3" fontId="8" numFmtId="0" xfId="0" applyAlignment="1" applyBorder="1" applyFill="1" applyFont="1">
      <alignment horizontal="center" readingOrder="0" vertical="center"/>
    </xf>
    <xf borderId="1" fillId="3" fontId="4" numFmtId="4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vertical="center"/>
    </xf>
    <xf borderId="0" fillId="0" fontId="7" numFmtId="4" xfId="0" applyAlignment="1" applyFont="1" applyNumberFormat="1">
      <alignment horizontal="center" readingOrder="0" shrinkToFit="0" vertical="bottom" wrapText="0"/>
    </xf>
    <xf borderId="0" fillId="0" fontId="4" numFmtId="4" xfId="0" applyAlignment="1" applyFont="1" applyNumberFormat="1">
      <alignment horizontal="center" readingOrder="0" vertical="center"/>
    </xf>
    <xf borderId="0" fillId="0" fontId="7" numFmtId="4" xfId="0" applyAlignment="1" applyFont="1" applyNumberFormat="1">
      <alignment horizontal="right" readingOrder="0" shrinkToFit="0" vertical="bottom" wrapText="0"/>
    </xf>
    <xf borderId="1" fillId="0" fontId="8" numFmtId="4" xfId="0" applyAlignment="1" applyBorder="1" applyFont="1" applyNumberFormat="1">
      <alignment horizontal="center" readingOrder="0" vertical="center"/>
    </xf>
    <xf borderId="1" fillId="0" fontId="10" numFmtId="4" xfId="0" applyAlignment="1" applyBorder="1" applyFont="1" applyNumberFormat="1">
      <alignment horizontal="center" readingOrder="0"/>
    </xf>
    <xf borderId="1" fillId="0" fontId="11" numFmtId="4" xfId="0" applyAlignment="1" applyBorder="1" applyFont="1" applyNumberFormat="1">
      <alignment horizontal="center" readingOrder="0"/>
    </xf>
    <xf borderId="6" fillId="2" fontId="7" numFmtId="4" xfId="0" applyAlignment="1" applyBorder="1" applyFont="1" applyNumberFormat="1">
      <alignment horizontal="right" readingOrder="0" shrinkToFit="0" vertical="bottom" wrapText="0"/>
    </xf>
    <xf borderId="1" fillId="0" fontId="4" numFmtId="0" xfId="0" applyBorder="1" applyFont="1"/>
    <xf borderId="6" fillId="2" fontId="7" numFmtId="4" xfId="0" applyAlignment="1" applyBorder="1" applyFont="1" applyNumberFormat="1">
      <alignment horizontal="center" readingOrder="0" shrinkToFit="0" vertical="bottom" wrapText="0"/>
    </xf>
    <xf borderId="0" fillId="0" fontId="4" numFmtId="4" xfId="0" applyAlignment="1" applyFont="1" applyNumberFormat="1">
      <alignment horizontal="center" readingOrder="0"/>
    </xf>
    <xf borderId="0" fillId="0" fontId="12" numFmtId="14" xfId="0" applyAlignment="1" applyFont="1" applyNumberFormat="1">
      <alignment horizontal="center" readingOrder="0" vertical="center"/>
    </xf>
    <xf borderId="1" fillId="0" fontId="13" numFmtId="4" xfId="0" applyAlignment="1" applyBorder="1" applyFont="1" applyNumberFormat="1">
      <alignment horizontal="center" readingOrder="0"/>
    </xf>
    <xf borderId="0" fillId="0" fontId="4" numFmtId="14" xfId="0" applyAlignment="1" applyFont="1" applyNumberFormat="1">
      <alignment horizontal="center" readingOrder="0" vertical="center"/>
    </xf>
    <xf borderId="4" fillId="0" fontId="4" numFmtId="4" xfId="0" applyAlignment="1" applyBorder="1" applyFont="1" applyNumberFormat="1">
      <alignment horizontal="center" vertical="center"/>
    </xf>
    <xf borderId="2" fillId="0" fontId="14" numFmtId="0" xfId="0" applyBorder="1" applyFont="1"/>
    <xf borderId="3" fillId="0" fontId="4" numFmtId="4" xfId="0" applyAlignment="1" applyBorder="1" applyFont="1" applyNumberFormat="1">
      <alignment horizontal="center" vertical="center"/>
    </xf>
    <xf borderId="0" fillId="0" fontId="4" numFmtId="4" xfId="0" applyAlignment="1" applyFont="1" applyNumberFormat="1">
      <alignment horizontal="center" vertical="center"/>
    </xf>
    <xf borderId="1" fillId="0" fontId="15" numFmtId="4" xfId="0" applyAlignment="1" applyBorder="1" applyFont="1" applyNumberFormat="1">
      <alignment horizontal="center" readingOrder="0"/>
    </xf>
    <xf borderId="1" fillId="0" fontId="4" numFmtId="4" xfId="0" applyAlignment="1" applyBorder="1" applyFont="1" applyNumberFormat="1">
      <alignment horizontal="center" vertical="bottom"/>
    </xf>
    <xf borderId="1" fillId="0" fontId="7" numFmtId="4" xfId="0" applyAlignment="1" applyBorder="1" applyFont="1" applyNumberFormat="1">
      <alignment horizontal="center" readingOrder="0"/>
    </xf>
    <xf borderId="1" fillId="0" fontId="16" numFmtId="4" xfId="0" applyAlignment="1" applyBorder="1" applyFont="1" applyNumberFormat="1">
      <alignment horizontal="center" readingOrder="0"/>
    </xf>
    <xf borderId="1" fillId="0" fontId="7" numFmtId="4" xfId="0" applyAlignment="1" applyBorder="1" applyFont="1" applyNumberFormat="1">
      <alignment horizontal="right" readingOrder="0"/>
    </xf>
    <xf borderId="1" fillId="0" fontId="16" numFmtId="4" xfId="0" applyAlignment="1" applyBorder="1" applyFont="1" applyNumberFormat="1">
      <alignment horizontal="right" readingOrder="0"/>
    </xf>
    <xf borderId="1" fillId="0" fontId="17" numFmtId="4" xfId="0" applyAlignment="1" applyBorder="1" applyFont="1" applyNumberFormat="1">
      <alignment horizontal="right" readingOrder="0"/>
    </xf>
    <xf borderId="1" fillId="4" fontId="17" numFmtId="4" xfId="0" applyAlignment="1" applyBorder="1" applyFill="1" applyFont="1" applyNumberFormat="1">
      <alignment horizontal="right" readingOrder="0"/>
    </xf>
    <xf borderId="1" fillId="0" fontId="4" numFmtId="4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1">
    <dxf>
      <font/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000000"/>
                </a:solidFill>
                <a:latin typeface="Tahoma"/>
              </a:defRPr>
            </a:pPr>
            <a:r>
              <a:rPr b="0" sz="1800">
                <a:solidFill>
                  <a:srgbClr val="000000"/>
                </a:solidFill>
                <a:latin typeface="Tahoma"/>
              </a:rPr>
              <a:t>กราฟเปรียบเทียนอัตราน้ำสูญเสียเกิดจริง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'กราฟ'!$B$1</c:f>
            </c:strRef>
          </c:tx>
          <c:spPr>
            <a:solidFill>
              <a:schemeClr val="accent6"/>
            </a:solidFill>
            <a:ln cmpd="sng">
              <a:solidFill>
                <a:schemeClr val="accent6"/>
              </a:solidFill>
            </a:ln>
          </c:spPr>
          <c:cat>
            <c:strRef>
              <c:f>'กราฟ'!$A$2:$A$25</c:f>
            </c:strRef>
          </c:cat>
          <c:val>
            <c:numRef>
              <c:f>'กราฟ'!$B$2:$B$25</c:f>
              <c:numCache/>
            </c:numRef>
          </c:val>
        </c:ser>
        <c:ser>
          <c:idx val="1"/>
          <c:order val="1"/>
          <c:tx>
            <c:strRef>
              <c:f>'กราฟ'!$C$1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'กราฟ'!$A$2:$A$25</c:f>
            </c:strRef>
          </c:cat>
          <c:val>
            <c:numRef>
              <c:f>'กราฟ'!$C$2:$C$25</c:f>
              <c:numCache/>
            </c:numRef>
          </c:val>
        </c:ser>
        <c:ser>
          <c:idx val="2"/>
          <c:order val="2"/>
          <c:tx>
            <c:strRef>
              <c:f>'กราฟ'!$D$1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'กราฟ'!$A$2:$A$25</c:f>
            </c:strRef>
          </c:cat>
          <c:val>
            <c:numRef>
              <c:f>'กราฟ'!$D$2:$D$25</c:f>
              <c:numCache/>
            </c:numRef>
          </c:val>
        </c:ser>
        <c:ser>
          <c:idx val="3"/>
          <c:order val="3"/>
          <c:tx>
            <c:strRef>
              <c:f>'กราฟ'!$E$1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'กราฟ'!$A$2:$A$25</c:f>
            </c:strRef>
          </c:cat>
          <c:val>
            <c:numRef>
              <c:f>'กราฟ'!$E$2:$E$25</c:f>
              <c:numCache/>
            </c:numRef>
          </c:val>
        </c:ser>
        <c:ser>
          <c:idx val="4"/>
          <c:order val="4"/>
          <c:tx>
            <c:strRef>
              <c:f>'กราฟ'!$F$1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'กราฟ'!$A$2:$A$25</c:f>
            </c:strRef>
          </c:cat>
          <c:val>
            <c:numRef>
              <c:f>'กราฟ'!$F$2:$F$25</c:f>
              <c:numCache/>
            </c:numRef>
          </c:val>
        </c:ser>
        <c:ser>
          <c:idx val="5"/>
          <c:order val="5"/>
          <c:tx>
            <c:strRef>
              <c:f>'กราฟ'!$G$1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'กราฟ'!$A$2:$A$25</c:f>
            </c:strRef>
          </c:cat>
          <c:val>
            <c:numRef>
              <c:f>'กราฟ'!$G$2:$G$25</c:f>
              <c:numCache/>
            </c:numRef>
          </c:val>
        </c:ser>
        <c:ser>
          <c:idx val="6"/>
          <c:order val="6"/>
          <c:tx>
            <c:strRef>
              <c:f>'กราฟ'!$H$1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'กราฟ'!$A$2:$A$25</c:f>
            </c:strRef>
          </c:cat>
          <c:val>
            <c:numRef>
              <c:f>'กราฟ'!$H$2:$H$25</c:f>
              <c:numCache/>
            </c:numRef>
          </c:val>
        </c:ser>
        <c:ser>
          <c:idx val="7"/>
          <c:order val="7"/>
          <c:tx>
            <c:strRef>
              <c:f>'กราฟ'!$I$1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'กราฟ'!$A$2:$A$25</c:f>
            </c:strRef>
          </c:cat>
          <c:val>
            <c:numRef>
              <c:f>'กราฟ'!$I$2:$I$25</c:f>
              <c:numCache/>
            </c:numRef>
          </c:val>
        </c:ser>
        <c:ser>
          <c:idx val="8"/>
          <c:order val="8"/>
          <c:tx>
            <c:strRef>
              <c:f>'กราฟ'!$J$1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'กราฟ'!$A$2:$A$25</c:f>
            </c:strRef>
          </c:cat>
          <c:val>
            <c:numRef>
              <c:f>'กราฟ'!$J$2:$J$25</c:f>
              <c:numCache/>
            </c:numRef>
          </c:val>
        </c:ser>
        <c:ser>
          <c:idx val="9"/>
          <c:order val="9"/>
          <c:tx>
            <c:strRef>
              <c:f>'กราฟ'!$K$1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'กราฟ'!$A$2:$A$25</c:f>
            </c:strRef>
          </c:cat>
          <c:val>
            <c:numRef>
              <c:f>'กราฟ'!$K$2:$K$25</c:f>
              <c:numCache/>
            </c:numRef>
          </c:val>
        </c:ser>
        <c:ser>
          <c:idx val="10"/>
          <c:order val="10"/>
          <c:tx>
            <c:strRef>
              <c:f>'กราฟ'!$L$1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'กราฟ'!$A$2:$A$25</c:f>
            </c:strRef>
          </c:cat>
          <c:val>
            <c:numRef>
              <c:f>'กราฟ'!$L$2:$L$25</c:f>
              <c:numCache/>
            </c:numRef>
          </c:val>
        </c:ser>
        <c:ser>
          <c:idx val="11"/>
          <c:order val="11"/>
          <c:tx>
            <c:strRef>
              <c:f>'กราฟ'!$M$1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'กราฟ'!$A$2:$A$25</c:f>
            </c:strRef>
          </c:cat>
          <c:val>
            <c:numRef>
              <c:f>'กราฟ'!$M$2:$M$25</c:f>
              <c:numCache/>
            </c:numRef>
          </c:val>
        </c:ser>
        <c:axId val="67408403"/>
        <c:axId val="117098214"/>
      </c:barChart>
      <c:catAx>
        <c:axId val="674084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117098214"/>
      </c:catAx>
      <c:valAx>
        <c:axId val="117098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4084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25</xdr:row>
      <xdr:rowOff>161925</xdr:rowOff>
    </xdr:from>
    <xdr:ext cx="12639675" cy="7191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/>
      <c r="B1" s="2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12</v>
      </c>
      <c r="B2" s="6">
        <f>'ต.ค.67'!H4</f>
        <v>21.08706287</v>
      </c>
      <c r="C2" s="6">
        <f>'พ.ย.67'!H4</f>
        <v>20.51438429</v>
      </c>
      <c r="D2" s="6">
        <f>'ธ.ค.67'!H4</f>
        <v>22.15238856</v>
      </c>
      <c r="E2" s="6">
        <f>'ม.ค.68'!H4</f>
        <v>22.51350093</v>
      </c>
      <c r="F2" s="6">
        <f>'ก.พ.68'!H4</f>
        <v>20.07127166</v>
      </c>
      <c r="G2" s="6">
        <f>'มี.ค.68'!H4</f>
        <v>19.22896689</v>
      </c>
      <c r="H2" s="6">
        <f>'เม.ย.68'!H4</f>
        <v>21.99224454</v>
      </c>
      <c r="I2" s="6">
        <v>23.359154543425944</v>
      </c>
      <c r="J2" s="6">
        <v>22.692472989494448</v>
      </c>
      <c r="K2" s="6">
        <v>21.923846156447482</v>
      </c>
      <c r="L2" s="6">
        <v>22.500438192744163</v>
      </c>
      <c r="M2" s="6">
        <v>20.873299787964157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13</v>
      </c>
      <c r="B3" s="6">
        <f>'ต.ค.67'!H5</f>
        <v>22.05291436</v>
      </c>
      <c r="C3" s="6">
        <f>'พ.ย.67'!H5</f>
        <v>23.01981979</v>
      </c>
      <c r="D3" s="6">
        <f>'ธ.ค.67'!H5</f>
        <v>15.89219216</v>
      </c>
      <c r="E3" s="6">
        <f>'ม.ค.68'!H5</f>
        <v>24.22412737</v>
      </c>
      <c r="F3" s="6">
        <f>'ก.พ.68'!H5</f>
        <v>24.87097017</v>
      </c>
      <c r="G3" s="6">
        <f>'มี.ค.68'!H5</f>
        <v>22.30714271</v>
      </c>
      <c r="H3" s="6">
        <f>'เม.ย.68'!H5</f>
        <v>22.13116235</v>
      </c>
      <c r="I3" s="6">
        <v>23.32206411211278</v>
      </c>
      <c r="J3" s="6">
        <v>27.696094317395797</v>
      </c>
      <c r="K3" s="6">
        <v>23.66850970321874</v>
      </c>
      <c r="L3" s="6">
        <v>18.18374737683421</v>
      </c>
      <c r="M3" s="6">
        <v>18.200050064812203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14</v>
      </c>
      <c r="B4" s="6">
        <f>'ต.ค.67'!H6</f>
        <v>28.52702204</v>
      </c>
      <c r="C4" s="6">
        <f>'พ.ย.67'!H6</f>
        <v>22.38575716</v>
      </c>
      <c r="D4" s="6">
        <f>'ธ.ค.67'!H6</f>
        <v>28.24487606</v>
      </c>
      <c r="E4" s="6">
        <f>'ม.ค.68'!H6</f>
        <v>25.64486347</v>
      </c>
      <c r="F4" s="6">
        <f>'ก.พ.68'!H6</f>
        <v>21.20830234</v>
      </c>
      <c r="G4" s="6">
        <f>'มี.ค.68'!H6</f>
        <v>22.64452755</v>
      </c>
      <c r="H4" s="6">
        <f>'เม.ย.68'!H6</f>
        <v>23.34499126</v>
      </c>
      <c r="I4" s="6">
        <v>26.110526495412362</v>
      </c>
      <c r="J4" s="6">
        <v>25.874725441887126</v>
      </c>
      <c r="K4" s="6">
        <v>23.435902300290763</v>
      </c>
      <c r="L4" s="6">
        <v>24.960211320270936</v>
      </c>
      <c r="M4" s="6">
        <v>26.83394400936138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15</v>
      </c>
      <c r="B5" s="6">
        <f>'ต.ค.67'!H7</f>
        <v>21.92799028</v>
      </c>
      <c r="C5" s="6">
        <f>'พ.ย.67'!H7</f>
        <v>19.46254726</v>
      </c>
      <c r="D5" s="6">
        <f>'ธ.ค.67'!H7</f>
        <v>24.26537442</v>
      </c>
      <c r="E5" s="6">
        <f>'ม.ค.68'!H7</f>
        <v>20.34341027</v>
      </c>
      <c r="F5" s="6">
        <f>'ก.พ.68'!H7</f>
        <v>18.31549975</v>
      </c>
      <c r="G5" s="6">
        <f>'มี.ค.68'!H7</f>
        <v>19.98928179</v>
      </c>
      <c r="H5" s="6">
        <f>'เม.ย.68'!H7</f>
        <v>21.76532665</v>
      </c>
      <c r="I5" s="6">
        <v>24.982034769921015</v>
      </c>
      <c r="J5" s="6">
        <v>20.107713554900702</v>
      </c>
      <c r="K5" s="6">
        <v>26.937569900396053</v>
      </c>
      <c r="L5" s="6">
        <v>24.263135623478714</v>
      </c>
      <c r="M5" s="6">
        <v>20.276309505065974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16</v>
      </c>
      <c r="B6" s="6">
        <f>'ต.ค.67'!H8</f>
        <v>24.56930735</v>
      </c>
      <c r="C6" s="6">
        <f>'พ.ย.67'!H8</f>
        <v>26.22047656</v>
      </c>
      <c r="D6" s="6">
        <f>'ธ.ค.67'!H8</f>
        <v>25.54457151</v>
      </c>
      <c r="E6" s="6">
        <f>'ม.ค.68'!H8</f>
        <v>28.28022304</v>
      </c>
      <c r="F6" s="6">
        <f>'ก.พ.68'!H8</f>
        <v>28.94233573</v>
      </c>
      <c r="G6" s="6">
        <f>'มี.ค.68'!H8</f>
        <v>29.25689662</v>
      </c>
      <c r="H6" s="6">
        <f>'เม.ย.68'!H8</f>
        <v>30.24554108</v>
      </c>
      <c r="I6" s="6">
        <v>31.606865580991407</v>
      </c>
      <c r="J6" s="6">
        <v>34.698797582193144</v>
      </c>
      <c r="K6" s="6">
        <v>35.14443545151952</v>
      </c>
      <c r="L6" s="6">
        <v>34.81627178742048</v>
      </c>
      <c r="M6" s="6">
        <v>30.307215168323843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17</v>
      </c>
      <c r="B7" s="6">
        <f>'ต.ค.67'!H9</f>
        <v>17.64071793</v>
      </c>
      <c r="C7" s="6">
        <f>'พ.ย.67'!H9</f>
        <v>16.38057954</v>
      </c>
      <c r="D7" s="6">
        <f>'ธ.ค.67'!H9</f>
        <v>15.53572313</v>
      </c>
      <c r="E7" s="6">
        <f>'ม.ค.68'!H9</f>
        <v>17.45782358</v>
      </c>
      <c r="F7" s="6">
        <f>'ก.พ.68'!H9</f>
        <v>21.76791105</v>
      </c>
      <c r="G7" s="6">
        <f>'มี.ค.68'!H9</f>
        <v>24.42813044</v>
      </c>
      <c r="H7" s="6">
        <f>'เม.ย.68'!H9</f>
        <v>26.18129074</v>
      </c>
      <c r="I7" s="6">
        <v>26.391883709637316</v>
      </c>
      <c r="J7" s="6">
        <v>24.86852086518284</v>
      </c>
      <c r="K7" s="6">
        <v>24.705900273753205</v>
      </c>
      <c r="L7" s="6">
        <v>21.911979434520596</v>
      </c>
      <c r="M7" s="6">
        <v>22.47847258965644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18</v>
      </c>
      <c r="B8" s="6">
        <f>'ต.ค.67'!H10</f>
        <v>14.98242171</v>
      </c>
      <c r="C8" s="6">
        <f>'พ.ย.67'!H10</f>
        <v>15.0327297</v>
      </c>
      <c r="D8" s="6">
        <f>'ธ.ค.67'!H10</f>
        <v>14.63948858</v>
      </c>
      <c r="E8" s="6">
        <f>'ม.ค.68'!H10</f>
        <v>12.32433866</v>
      </c>
      <c r="F8" s="6">
        <f>'ก.พ.68'!H10</f>
        <v>14.07535162</v>
      </c>
      <c r="G8" s="6">
        <f>'มี.ค.68'!H10</f>
        <v>14.91015559</v>
      </c>
      <c r="H8" s="6">
        <f>'เม.ย.68'!H10</f>
        <v>12.81592356</v>
      </c>
      <c r="I8" s="6">
        <v>15.875683904996505</v>
      </c>
      <c r="J8" s="6">
        <v>13.678821544268956</v>
      </c>
      <c r="K8" s="6">
        <v>10.19164608506922</v>
      </c>
      <c r="L8" s="6">
        <v>8.667522407225182</v>
      </c>
      <c r="M8" s="6">
        <v>9.155841123141544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19</v>
      </c>
      <c r="B9" s="6">
        <f>'ต.ค.67'!H11</f>
        <v>11.45772358</v>
      </c>
      <c r="C9" s="6">
        <f>'พ.ย.67'!H11</f>
        <v>9.994579171</v>
      </c>
      <c r="D9" s="6">
        <f>'ธ.ค.67'!H11</f>
        <v>11.82170682</v>
      </c>
      <c r="E9" s="6">
        <f>'ม.ค.68'!H11</f>
        <v>11.21826476</v>
      </c>
      <c r="F9" s="6">
        <f>'ก.พ.68'!H11</f>
        <v>9.138813155</v>
      </c>
      <c r="G9" s="6">
        <f>'มี.ค.68'!H11</f>
        <v>8.344719168</v>
      </c>
      <c r="H9" s="6">
        <f>'เม.ย.68'!H11</f>
        <v>7.202993863</v>
      </c>
      <c r="I9" s="6">
        <v>8.03686429757958</v>
      </c>
      <c r="J9" s="6">
        <v>9.996722434935169</v>
      </c>
      <c r="K9" s="6">
        <v>8.846582344718227</v>
      </c>
      <c r="L9" s="6">
        <v>1.1742889239706034</v>
      </c>
      <c r="M9" s="6">
        <v>7.408109159718662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20</v>
      </c>
      <c r="B10" s="6">
        <f>'ต.ค.67'!H12</f>
        <v>28.60236146</v>
      </c>
      <c r="C10" s="6">
        <f>'พ.ย.67'!H12</f>
        <v>28.21486711</v>
      </c>
      <c r="D10" s="6">
        <f>'ธ.ค.67'!H12</f>
        <v>27.31738109</v>
      </c>
      <c r="E10" s="6">
        <f>'ม.ค.68'!H12</f>
        <v>25.89360065</v>
      </c>
      <c r="F10" s="6">
        <f>'ก.พ.68'!H12</f>
        <v>25.83031868</v>
      </c>
      <c r="G10" s="6">
        <f>'มี.ค.68'!H12</f>
        <v>27.3359615</v>
      </c>
      <c r="H10" s="6">
        <f>'เม.ย.68'!H12</f>
        <v>25.67729984</v>
      </c>
      <c r="I10" s="6">
        <v>29.653729871509345</v>
      </c>
      <c r="J10" s="6">
        <v>29.195829123514965</v>
      </c>
      <c r="K10" s="6">
        <v>28.98528614550811</v>
      </c>
      <c r="L10" s="6">
        <v>26.971163135183872</v>
      </c>
      <c r="M10" s="6">
        <v>22.845476513030007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21</v>
      </c>
      <c r="B11" s="6">
        <f>'ต.ค.67'!H13</f>
        <v>31.75151214</v>
      </c>
      <c r="C11" s="6">
        <f>'พ.ย.67'!H13</f>
        <v>30.73700514</v>
      </c>
      <c r="D11" s="6">
        <f>'ธ.ค.67'!H13</f>
        <v>30.06029285</v>
      </c>
      <c r="E11" s="6">
        <f>'ม.ค.68'!H13</f>
        <v>37.11073756</v>
      </c>
      <c r="F11" s="6">
        <f>'ก.พ.68'!H13</f>
        <v>35.32042321</v>
      </c>
      <c r="G11" s="6">
        <f>'มี.ค.68'!H13</f>
        <v>24.22074403</v>
      </c>
      <c r="H11" s="6">
        <f>'เม.ย.68'!H13</f>
        <v>33.033048</v>
      </c>
      <c r="I11" s="6">
        <v>31.378375383171957</v>
      </c>
      <c r="J11" s="6">
        <v>30.62737366082608</v>
      </c>
      <c r="K11" s="6">
        <v>31.380545117126875</v>
      </c>
      <c r="L11" s="6">
        <v>30.118000782553185</v>
      </c>
      <c r="M11" s="6">
        <v>28.452671119070555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22</v>
      </c>
      <c r="B12" s="6">
        <f>'ต.ค.67'!H14</f>
        <v>15.57587443</v>
      </c>
      <c r="C12" s="6">
        <f>'พ.ย.67'!H14</f>
        <v>12.54868378</v>
      </c>
      <c r="D12" s="6">
        <f>'ธ.ค.67'!H14</f>
        <v>11.32883413</v>
      </c>
      <c r="E12" s="6">
        <f>'ม.ค.68'!H14</f>
        <v>15.61964095</v>
      </c>
      <c r="F12" s="6">
        <f>'ก.พ.68'!H14</f>
        <v>14.13779905</v>
      </c>
      <c r="G12" s="6">
        <f>'มี.ค.68'!H14</f>
        <v>10.22694497</v>
      </c>
      <c r="H12" s="6">
        <f>'เม.ย.68'!H14</f>
        <v>16.01511613</v>
      </c>
      <c r="I12" s="6">
        <v>17.033271601707938</v>
      </c>
      <c r="J12" s="6">
        <v>13.293066131544625</v>
      </c>
      <c r="K12" s="6">
        <v>16.44416382758823</v>
      </c>
      <c r="L12" s="6">
        <v>13.210310131744876</v>
      </c>
      <c r="M12" s="6">
        <v>11.057850690924136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23</v>
      </c>
      <c r="B13" s="6">
        <f>'ต.ค.67'!H15</f>
        <v>34.94530186</v>
      </c>
      <c r="C13" s="6">
        <f>'พ.ย.67'!H15</f>
        <v>30.60187339</v>
      </c>
      <c r="D13" s="6">
        <f>'ธ.ค.67'!H15</f>
        <v>32.00310853</v>
      </c>
      <c r="E13" s="6">
        <f>'ม.ค.68'!H15</f>
        <v>30.59501034</v>
      </c>
      <c r="F13" s="6">
        <f>'ก.พ.68'!H15</f>
        <v>31.926676</v>
      </c>
      <c r="G13" s="6">
        <f>'มี.ค.68'!H15</f>
        <v>27.36789128</v>
      </c>
      <c r="H13" s="6">
        <f>'เม.ย.68'!H15</f>
        <v>28.34437326</v>
      </c>
      <c r="I13" s="6">
        <v>27.268820280964416</v>
      </c>
      <c r="J13" s="6">
        <v>17.98037527272536</v>
      </c>
      <c r="K13" s="6">
        <v>20.106952221466326</v>
      </c>
      <c r="L13" s="6">
        <v>22.094129957914813</v>
      </c>
      <c r="M13" s="6">
        <v>24.16590508357092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24</v>
      </c>
      <c r="B14" s="6">
        <f>'ต.ค.67'!H16</f>
        <v>54.7213281</v>
      </c>
      <c r="C14" s="6">
        <f>'พ.ย.67'!H16</f>
        <v>52.50280211</v>
      </c>
      <c r="D14" s="6">
        <f>'ธ.ค.67'!H16</f>
        <v>48.13990702</v>
      </c>
      <c r="E14" s="6">
        <f>'ม.ค.68'!H16</f>
        <v>47.4289616</v>
      </c>
      <c r="F14" s="6">
        <f>'ก.พ.68'!H16</f>
        <v>42.45322069</v>
      </c>
      <c r="G14" s="6">
        <f>'มี.ค.68'!H16</f>
        <v>44.09512076</v>
      </c>
      <c r="H14" s="6">
        <f>'เม.ย.68'!H16</f>
        <v>45.89053009</v>
      </c>
      <c r="I14" s="6">
        <v>46.26799346970788</v>
      </c>
      <c r="J14" s="6">
        <v>42.249464462684685</v>
      </c>
      <c r="K14" s="6">
        <v>50.47279697857287</v>
      </c>
      <c r="L14" s="6">
        <v>46.35479602479221</v>
      </c>
      <c r="M14" s="6">
        <v>45.093601341008714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 t="s">
        <v>25</v>
      </c>
      <c r="B15" s="6">
        <f>'ต.ค.67'!H17</f>
        <v>31.21142595</v>
      </c>
      <c r="C15" s="6">
        <f>'พ.ย.67'!H17</f>
        <v>30.43294544</v>
      </c>
      <c r="D15" s="6">
        <f>'ธ.ค.67'!H17</f>
        <v>27.9190794</v>
      </c>
      <c r="E15" s="6">
        <f>'ม.ค.68'!H17</f>
        <v>31.69750347</v>
      </c>
      <c r="F15" s="6">
        <f>'ก.พ.68'!H17</f>
        <v>28.78150633</v>
      </c>
      <c r="G15" s="6">
        <f>'มี.ค.68'!H17</f>
        <v>31.93633075</v>
      </c>
      <c r="H15" s="6">
        <f>'เม.ย.68'!H17</f>
        <v>32.84928993</v>
      </c>
      <c r="I15" s="6">
        <v>30.528538369284302</v>
      </c>
      <c r="J15" s="6">
        <v>32.60796273491569</v>
      </c>
      <c r="K15" s="6">
        <v>33.0785713570506</v>
      </c>
      <c r="L15" s="6">
        <v>34.76867115021769</v>
      </c>
      <c r="M15" s="6">
        <v>35.11956099461071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26</v>
      </c>
      <c r="B16" s="6">
        <f>'ต.ค.67'!H18</f>
        <v>50.50188712</v>
      </c>
      <c r="C16" s="6">
        <f>'พ.ย.67'!H18</f>
        <v>48.62296973</v>
      </c>
      <c r="D16" s="6">
        <f>'ธ.ค.67'!H18</f>
        <v>46.28636564</v>
      </c>
      <c r="E16" s="6">
        <f>'ม.ค.68'!H18</f>
        <v>46.89889015</v>
      </c>
      <c r="F16" s="6">
        <f>'ก.พ.68'!H18</f>
        <v>48.62803293</v>
      </c>
      <c r="G16" s="6">
        <f>'มี.ค.68'!H18</f>
        <v>47.59261484</v>
      </c>
      <c r="H16" s="6">
        <f>'เม.ย.68'!H18</f>
        <v>44.11563617</v>
      </c>
      <c r="I16" s="8">
        <v>49.68941379222952</v>
      </c>
      <c r="J16" s="8">
        <v>42.52711368999082</v>
      </c>
      <c r="K16" s="6">
        <v>52.846327619600665</v>
      </c>
      <c r="L16" s="6">
        <v>53.08865125301567</v>
      </c>
      <c r="M16" s="6">
        <v>55.40301818129822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27</v>
      </c>
      <c r="B17" s="6">
        <f>'ต.ค.67'!H19</f>
        <v>65.12323614</v>
      </c>
      <c r="C17" s="6">
        <f>'พ.ย.67'!H19</f>
        <v>62.86895126</v>
      </c>
      <c r="D17" s="6">
        <f>'ธ.ค.67'!H19</f>
        <v>62.45491376</v>
      </c>
      <c r="E17" s="6">
        <f>'ม.ค.68'!H19</f>
        <v>56.63255238</v>
      </c>
      <c r="F17" s="6">
        <f>'ก.พ.68'!H19</f>
        <v>58.17148233</v>
      </c>
      <c r="G17" s="6">
        <f>'มี.ค.68'!H19</f>
        <v>55.95718841</v>
      </c>
      <c r="H17" s="6">
        <f>'เม.ย.68'!H19</f>
        <v>54.45117259</v>
      </c>
      <c r="I17" s="9">
        <v>56.68595335937102</v>
      </c>
      <c r="J17" s="6">
        <v>55.314456557974744</v>
      </c>
      <c r="K17" s="6">
        <v>60.27507510130488</v>
      </c>
      <c r="L17" s="6">
        <v>59.324457132160234</v>
      </c>
      <c r="M17" s="6">
        <v>58.002649925083894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28</v>
      </c>
      <c r="B18" s="6">
        <f>'ต.ค.67'!H20</f>
        <v>49.76773192</v>
      </c>
      <c r="C18" s="6">
        <f>'พ.ย.67'!H20</f>
        <v>38.46733722</v>
      </c>
      <c r="D18" s="6">
        <f>'ธ.ค.67'!H20</f>
        <v>38.85573553</v>
      </c>
      <c r="E18" s="6">
        <f>'ม.ค.68'!H20</f>
        <v>38.7383503</v>
      </c>
      <c r="F18" s="6">
        <f>'ก.พ.68'!H20</f>
        <v>39.93411912</v>
      </c>
      <c r="G18" s="6">
        <f>'มี.ค.68'!H20</f>
        <v>40.16197512</v>
      </c>
      <c r="H18" s="6">
        <f>'เม.ย.68'!H20</f>
        <v>39.47566764</v>
      </c>
      <c r="I18" s="6">
        <v>40.88654269570523</v>
      </c>
      <c r="J18" s="6">
        <v>40.413417415050255</v>
      </c>
      <c r="K18" s="6">
        <v>47.45748103884165</v>
      </c>
      <c r="L18" s="6">
        <v>46.556145353723274</v>
      </c>
      <c r="M18" s="6">
        <v>46.91855108422022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29</v>
      </c>
      <c r="B19" s="6">
        <f>'ต.ค.67'!H21</f>
        <v>32.7638998</v>
      </c>
      <c r="C19" s="6">
        <f>'พ.ย.67'!H21</f>
        <v>42.02559265</v>
      </c>
      <c r="D19" s="6">
        <f>'ธ.ค.67'!H21</f>
        <v>42.05620211</v>
      </c>
      <c r="E19" s="6">
        <f>'ม.ค.68'!H21</f>
        <v>39.58247572</v>
      </c>
      <c r="F19" s="6">
        <f>'ก.พ.68'!H21</f>
        <v>34.76977695</v>
      </c>
      <c r="G19" s="6">
        <f>'มี.ค.68'!H21</f>
        <v>37.38466726</v>
      </c>
      <c r="H19" s="6">
        <f>'เม.ย.68'!H21</f>
        <v>35.87178715</v>
      </c>
      <c r="I19" s="6">
        <v>45.37928207195328</v>
      </c>
      <c r="J19" s="6">
        <v>33.55064314703349</v>
      </c>
      <c r="K19" s="6">
        <v>38.713486817594024</v>
      </c>
      <c r="L19" s="6">
        <v>35.37895039363575</v>
      </c>
      <c r="M19" s="6">
        <v>35.559973882888144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30</v>
      </c>
      <c r="B20" s="6">
        <f>'ต.ค.67'!H22</f>
        <v>23.65670151</v>
      </c>
      <c r="C20" s="6">
        <f>'พ.ย.67'!H22</f>
        <v>26.76205239</v>
      </c>
      <c r="D20" s="6">
        <f>'ธ.ค.67'!H22</f>
        <v>14.21959639</v>
      </c>
      <c r="E20" s="6">
        <f>'ม.ค.68'!H22</f>
        <v>15.87625193</v>
      </c>
      <c r="F20" s="6">
        <f>'ก.พ.68'!H22</f>
        <v>13.5722506</v>
      </c>
      <c r="G20" s="6">
        <f>'มี.ค.68'!H22</f>
        <v>17.77337912</v>
      </c>
      <c r="H20" s="6">
        <f>'เม.ย.68'!H22</f>
        <v>18.66013015</v>
      </c>
      <c r="I20" s="6">
        <v>22.106664781600035</v>
      </c>
      <c r="J20" s="6">
        <v>24.032039541197406</v>
      </c>
      <c r="K20" s="6">
        <v>28.375632664979562</v>
      </c>
      <c r="L20" s="6">
        <v>25.044535266132378</v>
      </c>
      <c r="M20" s="6">
        <v>19.452933243882438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31</v>
      </c>
      <c r="B21" s="6">
        <f>'ต.ค.67'!H23</f>
        <v>23.86609569</v>
      </c>
      <c r="C21" s="6">
        <f>'พ.ย.67'!H23</f>
        <v>30.01801057</v>
      </c>
      <c r="D21" s="6">
        <f>'ธ.ค.67'!H23</f>
        <v>34.43069249</v>
      </c>
      <c r="E21" s="6">
        <f>'ม.ค.68'!H23</f>
        <v>33.54435173</v>
      </c>
      <c r="F21" s="6">
        <f>'ก.พ.68'!H23</f>
        <v>28.18462856</v>
      </c>
      <c r="G21" s="6">
        <f>'มี.ค.68'!H23</f>
        <v>33.12617601</v>
      </c>
      <c r="H21" s="6">
        <f>'เม.ย.68'!H23</f>
        <v>33.55300495</v>
      </c>
      <c r="I21" s="6">
        <v>33.86076413216502</v>
      </c>
      <c r="J21" s="6">
        <v>35.192954983896875</v>
      </c>
      <c r="K21" s="6">
        <v>33.20965108927839</v>
      </c>
      <c r="L21" s="6">
        <v>32.06605697882826</v>
      </c>
      <c r="M21" s="6">
        <v>36.18456209201987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32</v>
      </c>
      <c r="B22" s="6">
        <f>'ต.ค.67'!H24</f>
        <v>48.11903519</v>
      </c>
      <c r="C22" s="6">
        <f>'พ.ย.67'!H24</f>
        <v>47.69725504</v>
      </c>
      <c r="D22" s="6">
        <f>'ธ.ค.67'!H24</f>
        <v>45.34462221</v>
      </c>
      <c r="E22" s="6">
        <f>'ม.ค.68'!H24</f>
        <v>39.5822162</v>
      </c>
      <c r="F22" s="6">
        <f>'ก.พ.68'!H24</f>
        <v>45.9491165</v>
      </c>
      <c r="G22" s="6">
        <f>'มี.ค.68'!H24</f>
        <v>44.21561845</v>
      </c>
      <c r="H22" s="6">
        <f>'เม.ย.68'!H24</f>
        <v>48.66570982</v>
      </c>
      <c r="I22" s="6">
        <v>48.244057871167755</v>
      </c>
      <c r="J22" s="6">
        <v>47.25097298036631</v>
      </c>
      <c r="K22" s="6">
        <v>46.77451151836198</v>
      </c>
      <c r="L22" s="6">
        <v>48.58313100260645</v>
      </c>
      <c r="M22" s="6">
        <v>48.68340846321145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33</v>
      </c>
      <c r="B23" s="6">
        <f>'ต.ค.67'!H25</f>
        <v>35.79302035</v>
      </c>
      <c r="C23" s="6">
        <f>'พ.ย.67'!H25</f>
        <v>37.37444618</v>
      </c>
      <c r="D23" s="6">
        <f>'ธ.ค.67'!H25</f>
        <v>36.74362757</v>
      </c>
      <c r="E23" s="6">
        <f>'ม.ค.68'!H25</f>
        <v>32.60101243</v>
      </c>
      <c r="F23" s="6">
        <f>'ก.พ.68'!H25</f>
        <v>24.59634039</v>
      </c>
      <c r="G23" s="6">
        <f>'มี.ค.68'!H25</f>
        <v>33.13266669</v>
      </c>
      <c r="H23" s="6">
        <f>'เม.ย.68'!H25</f>
        <v>33.14973648</v>
      </c>
      <c r="I23" s="6">
        <v>31.683687450901584</v>
      </c>
      <c r="J23" s="6">
        <v>29.509747569095175</v>
      </c>
      <c r="K23" s="6">
        <v>32.22612178829707</v>
      </c>
      <c r="L23" s="6">
        <v>30.405598714760444</v>
      </c>
      <c r="M23" s="6">
        <v>29.398566941868992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 t="s">
        <v>34</v>
      </c>
      <c r="B24" s="6">
        <f>'ต.ค.67'!H26</f>
        <v>27.80424965</v>
      </c>
      <c r="C24" s="6">
        <f>'พ.ย.67'!H26</f>
        <v>26.80390648</v>
      </c>
      <c r="D24" s="6">
        <f>'ธ.ค.67'!H26</f>
        <v>26.07163635</v>
      </c>
      <c r="E24" s="6">
        <f>'ม.ค.68'!H26</f>
        <v>26.86450856</v>
      </c>
      <c r="F24" s="6">
        <f>'ก.พ.68'!H26</f>
        <v>26.35147324</v>
      </c>
      <c r="G24" s="6">
        <f>'มี.ค.68'!H26</f>
        <v>25.75381418</v>
      </c>
      <c r="H24" s="6">
        <f>'เม.ย.68'!H26</f>
        <v>26.85589917</v>
      </c>
      <c r="I24" s="6">
        <v>28.12120994902013</v>
      </c>
      <c r="J24" s="6">
        <v>27.1705128488576</v>
      </c>
      <c r="K24" s="6">
        <v>27.54051636162832</v>
      </c>
      <c r="L24" s="6">
        <v>25.965529662848603</v>
      </c>
      <c r="M24" s="6">
        <v>25.342944113816667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7.63"/>
    <col customWidth="1" min="3" max="3" width="21.0"/>
    <col customWidth="1" min="4" max="4" width="27.13"/>
    <col customWidth="1" min="5" max="5" width="27.88"/>
    <col customWidth="1" min="6" max="6" width="22.75"/>
    <col customWidth="1" min="7" max="7" width="19.38"/>
    <col customWidth="1" min="8" max="8" width="20.63"/>
    <col customWidth="1" min="9" max="9" width="41.5"/>
  </cols>
  <sheetData>
    <row r="1" ht="29.25" customHeight="1">
      <c r="A1" s="13" t="s">
        <v>35</v>
      </c>
      <c r="J1" s="14"/>
      <c r="K1" s="15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9.25" customHeight="1">
      <c r="A2" s="16" t="s">
        <v>36</v>
      </c>
      <c r="B2" s="16" t="s">
        <v>37</v>
      </c>
      <c r="C2" s="17" t="s">
        <v>38</v>
      </c>
      <c r="D2" s="17" t="s">
        <v>39</v>
      </c>
      <c r="E2" s="18" t="s">
        <v>40</v>
      </c>
      <c r="F2" s="17" t="s">
        <v>41</v>
      </c>
      <c r="G2" s="19" t="s">
        <v>42</v>
      </c>
      <c r="H2" s="20"/>
      <c r="I2" s="16" t="s">
        <v>43</v>
      </c>
      <c r="J2" s="14"/>
      <c r="K2" s="15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/>
      <c r="B3" s="21"/>
      <c r="C3" s="17" t="s">
        <v>44</v>
      </c>
      <c r="D3" s="17" t="s">
        <v>44</v>
      </c>
      <c r="E3" s="18" t="s">
        <v>44</v>
      </c>
      <c r="F3" s="17" t="s">
        <v>44</v>
      </c>
      <c r="G3" s="17" t="s">
        <v>45</v>
      </c>
      <c r="H3" s="17" t="s">
        <v>46</v>
      </c>
      <c r="I3" s="21"/>
      <c r="J3" s="14"/>
      <c r="K3" s="15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>
        <v>1.0</v>
      </c>
      <c r="B4" s="17" t="s">
        <v>12</v>
      </c>
      <c r="C4" s="22">
        <v>4724559.0</v>
      </c>
      <c r="D4" s="23">
        <v>5351753.38</v>
      </c>
      <c r="E4" s="24">
        <v>3852205.0</v>
      </c>
      <c r="F4" s="23">
        <v>371020.78</v>
      </c>
      <c r="G4" s="9">
        <f t="shared" ref="G4:G25" si="1">D4-E4-F4</f>
        <v>1128527.6</v>
      </c>
      <c r="H4" s="9">
        <f t="shared" ref="H4:H26" si="2">(G4/D4)*100</f>
        <v>21.08706287</v>
      </c>
      <c r="I4" s="25"/>
      <c r="J4" s="14"/>
      <c r="K4" s="15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2.0</v>
      </c>
      <c r="B5" s="17" t="s">
        <v>13</v>
      </c>
      <c r="C5" s="26">
        <v>6208172.0</v>
      </c>
      <c r="D5" s="26">
        <v>5911462.85</v>
      </c>
      <c r="E5" s="27">
        <v>4522933.01</v>
      </c>
      <c r="F5" s="26">
        <v>84880.0</v>
      </c>
      <c r="G5" s="9">
        <f t="shared" si="1"/>
        <v>1303649.84</v>
      </c>
      <c r="H5" s="9">
        <f t="shared" si="2"/>
        <v>22.05291436</v>
      </c>
      <c r="I5" s="17" t="s">
        <v>47</v>
      </c>
      <c r="J5" s="14"/>
      <c r="K5" s="15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3.0</v>
      </c>
      <c r="B6" s="17" t="s">
        <v>14</v>
      </c>
      <c r="C6" s="26">
        <v>2020422.6</v>
      </c>
      <c r="D6" s="26">
        <v>1830345.1</v>
      </c>
      <c r="E6" s="27">
        <v>1255153.0</v>
      </c>
      <c r="F6" s="26">
        <v>53049.15</v>
      </c>
      <c r="G6" s="9">
        <f t="shared" si="1"/>
        <v>522142.95</v>
      </c>
      <c r="H6" s="9">
        <f t="shared" si="2"/>
        <v>28.52702204</v>
      </c>
      <c r="I6" s="25"/>
      <c r="J6" s="14"/>
      <c r="K6" s="15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>
        <v>4.0</v>
      </c>
      <c r="B7" s="17" t="s">
        <v>15</v>
      </c>
      <c r="C7" s="26">
        <v>2309480.0</v>
      </c>
      <c r="D7" s="26">
        <v>2164430.0</v>
      </c>
      <c r="E7" s="27">
        <v>1664101.0</v>
      </c>
      <c r="F7" s="26">
        <v>25713.0</v>
      </c>
      <c r="G7" s="9">
        <f t="shared" si="1"/>
        <v>474616</v>
      </c>
      <c r="H7" s="9">
        <f t="shared" si="2"/>
        <v>21.92799028</v>
      </c>
      <c r="I7" s="25"/>
      <c r="J7" s="14"/>
      <c r="K7" s="15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5.0</v>
      </c>
      <c r="B8" s="17" t="s">
        <v>16</v>
      </c>
      <c r="C8" s="26">
        <v>2550250.0</v>
      </c>
      <c r="D8" s="26">
        <v>2348807.81</v>
      </c>
      <c r="E8" s="27">
        <v>1546722.0</v>
      </c>
      <c r="F8" s="26">
        <v>225000.0</v>
      </c>
      <c r="G8" s="9">
        <f t="shared" si="1"/>
        <v>577085.81</v>
      </c>
      <c r="H8" s="9">
        <f t="shared" si="2"/>
        <v>24.56930735</v>
      </c>
      <c r="I8" s="25"/>
      <c r="J8" s="14"/>
      <c r="K8" s="15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>
        <v>6.0</v>
      </c>
      <c r="B9" s="17" t="s">
        <v>17</v>
      </c>
      <c r="C9" s="26">
        <v>2566368.0</v>
      </c>
      <c r="D9" s="26">
        <v>2545891.0</v>
      </c>
      <c r="E9" s="27">
        <v>2037831.0</v>
      </c>
      <c r="F9" s="26">
        <v>58946.55</v>
      </c>
      <c r="G9" s="9">
        <f t="shared" si="1"/>
        <v>449113.45</v>
      </c>
      <c r="H9" s="9">
        <f t="shared" si="2"/>
        <v>17.64071793</v>
      </c>
      <c r="I9" s="25"/>
      <c r="J9" s="14"/>
      <c r="K9" s="15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7.0</v>
      </c>
      <c r="B10" s="17" t="s">
        <v>18</v>
      </c>
      <c r="C10" s="26">
        <v>1090298.81</v>
      </c>
      <c r="D10" s="26">
        <v>1085316.0</v>
      </c>
      <c r="E10" s="27">
        <v>853412.0</v>
      </c>
      <c r="F10" s="26">
        <v>69297.38</v>
      </c>
      <c r="G10" s="9">
        <f t="shared" si="1"/>
        <v>162606.62</v>
      </c>
      <c r="H10" s="9">
        <f t="shared" si="2"/>
        <v>14.98242171</v>
      </c>
      <c r="I10" s="25"/>
      <c r="J10" s="14"/>
      <c r="K10" s="15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>
        <v>8.0</v>
      </c>
      <c r="B11" s="17" t="s">
        <v>19</v>
      </c>
      <c r="C11" s="26">
        <v>1352765.0</v>
      </c>
      <c r="D11" s="26">
        <v>1336466.0</v>
      </c>
      <c r="E11" s="27">
        <v>1134622.0</v>
      </c>
      <c r="F11" s="26">
        <v>48715.42</v>
      </c>
      <c r="G11" s="9">
        <f t="shared" si="1"/>
        <v>153128.58</v>
      </c>
      <c r="H11" s="9">
        <f t="shared" si="2"/>
        <v>11.45772358</v>
      </c>
      <c r="I11" s="25"/>
      <c r="J11" s="14"/>
      <c r="K11" s="15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>
        <v>9.0</v>
      </c>
      <c r="B12" s="17" t="s">
        <v>20</v>
      </c>
      <c r="C12" s="26">
        <v>2762431.0</v>
      </c>
      <c r="D12" s="26">
        <v>2481639.5</v>
      </c>
      <c r="E12" s="27">
        <v>1731832.0</v>
      </c>
      <c r="F12" s="26">
        <v>40000.0</v>
      </c>
      <c r="G12" s="9">
        <f t="shared" si="1"/>
        <v>709807.5</v>
      </c>
      <c r="H12" s="9">
        <f t="shared" si="2"/>
        <v>28.60236146</v>
      </c>
      <c r="I12" s="25"/>
      <c r="J12" s="14"/>
      <c r="K12" s="15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>
        <v>10.0</v>
      </c>
      <c r="B13" s="17" t="s">
        <v>21</v>
      </c>
      <c r="C13" s="26">
        <v>960470.31</v>
      </c>
      <c r="D13" s="26">
        <v>817054.0</v>
      </c>
      <c r="E13" s="27">
        <v>533604.0</v>
      </c>
      <c r="F13" s="26">
        <v>24023.0</v>
      </c>
      <c r="G13" s="9">
        <f t="shared" si="1"/>
        <v>259427</v>
      </c>
      <c r="H13" s="9">
        <f t="shared" si="2"/>
        <v>31.75151214</v>
      </c>
      <c r="I13" s="25"/>
      <c r="J13" s="14"/>
      <c r="K13" s="15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11.0</v>
      </c>
      <c r="B14" s="17" t="s">
        <v>22</v>
      </c>
      <c r="C14" s="26">
        <v>2058303.0</v>
      </c>
      <c r="D14" s="26">
        <v>2038717.0</v>
      </c>
      <c r="E14" s="27">
        <v>1608533.0</v>
      </c>
      <c r="F14" s="26">
        <v>112636.0</v>
      </c>
      <c r="G14" s="9">
        <f t="shared" si="1"/>
        <v>317548</v>
      </c>
      <c r="H14" s="9">
        <f t="shared" si="2"/>
        <v>15.57587443</v>
      </c>
      <c r="I14" s="25"/>
      <c r="J14" s="14"/>
      <c r="K14" s="15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12.0</v>
      </c>
      <c r="B15" s="17" t="s">
        <v>23</v>
      </c>
      <c r="C15" s="26">
        <v>3208007.0</v>
      </c>
      <c r="D15" s="26">
        <v>3721516.0</v>
      </c>
      <c r="E15" s="27">
        <v>2254150.0</v>
      </c>
      <c r="F15" s="26">
        <v>166871.0</v>
      </c>
      <c r="G15" s="9">
        <f t="shared" si="1"/>
        <v>1300495</v>
      </c>
      <c r="H15" s="9">
        <f t="shared" si="2"/>
        <v>34.94530186</v>
      </c>
      <c r="I15" s="25"/>
      <c r="J15" s="14"/>
      <c r="K15" s="15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7">
        <v>13.0</v>
      </c>
      <c r="B16" s="17" t="s">
        <v>24</v>
      </c>
      <c r="C16" s="26">
        <v>1010058.0</v>
      </c>
      <c r="D16" s="26">
        <v>966190.0</v>
      </c>
      <c r="E16" s="27">
        <v>431294.0</v>
      </c>
      <c r="F16" s="26">
        <v>6184.0</v>
      </c>
      <c r="G16" s="9">
        <f t="shared" si="1"/>
        <v>528712</v>
      </c>
      <c r="H16" s="9">
        <f t="shared" si="2"/>
        <v>54.7213281</v>
      </c>
      <c r="I16" s="25"/>
      <c r="J16" s="14"/>
      <c r="K16" s="15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8">
        <v>14.0</v>
      </c>
      <c r="B17" s="28" t="s">
        <v>25</v>
      </c>
      <c r="C17" s="29">
        <v>2254063.0</v>
      </c>
      <c r="D17" s="29">
        <v>1993568.0</v>
      </c>
      <c r="E17" s="30">
        <v>1295347.0</v>
      </c>
      <c r="F17" s="29">
        <v>76000.0</v>
      </c>
      <c r="G17" s="31">
        <f t="shared" si="1"/>
        <v>622221</v>
      </c>
      <c r="H17" s="31">
        <f t="shared" si="2"/>
        <v>31.21142595</v>
      </c>
      <c r="I17" s="32"/>
      <c r="J17" s="33"/>
      <c r="K17" s="34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17">
        <v>15.0</v>
      </c>
      <c r="B18" s="17" t="s">
        <v>26</v>
      </c>
      <c r="C18" s="26">
        <v>538915.4</v>
      </c>
      <c r="D18" s="26">
        <v>511625.0</v>
      </c>
      <c r="E18" s="27">
        <v>252935.0</v>
      </c>
      <c r="F18" s="26">
        <v>309.72</v>
      </c>
      <c r="G18" s="9">
        <f t="shared" si="1"/>
        <v>258380.28</v>
      </c>
      <c r="H18" s="9">
        <f t="shared" si="2"/>
        <v>50.50188712</v>
      </c>
      <c r="I18" s="25"/>
      <c r="J18" s="14"/>
      <c r="K18" s="15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>
        <v>16.0</v>
      </c>
      <c r="B19" s="17" t="s">
        <v>27</v>
      </c>
      <c r="C19" s="26">
        <v>1734569.4</v>
      </c>
      <c r="D19" s="26">
        <v>1569426.0</v>
      </c>
      <c r="E19" s="27">
        <v>514499.0</v>
      </c>
      <c r="F19" s="26">
        <v>32866.0</v>
      </c>
      <c r="G19" s="9">
        <f t="shared" si="1"/>
        <v>1022061</v>
      </c>
      <c r="H19" s="9">
        <f t="shared" si="2"/>
        <v>65.12323614</v>
      </c>
      <c r="I19" s="25"/>
      <c r="J19" s="14"/>
      <c r="K19" s="15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>
        <v>17.0</v>
      </c>
      <c r="B20" s="17" t="s">
        <v>28</v>
      </c>
      <c r="C20" s="26">
        <v>177813.12</v>
      </c>
      <c r="D20" s="26">
        <v>157146.0</v>
      </c>
      <c r="E20" s="27">
        <v>68938.0</v>
      </c>
      <c r="F20" s="26">
        <v>10000.0</v>
      </c>
      <c r="G20" s="9">
        <f t="shared" si="1"/>
        <v>78208</v>
      </c>
      <c r="H20" s="9">
        <f t="shared" si="2"/>
        <v>49.76773192</v>
      </c>
      <c r="I20" s="25"/>
      <c r="J20" s="14"/>
      <c r="K20" s="15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>
        <v>18.0</v>
      </c>
      <c r="B21" s="17" t="s">
        <v>29</v>
      </c>
      <c r="C21" s="26">
        <v>517385.66</v>
      </c>
      <c r="D21" s="26">
        <v>482679.69</v>
      </c>
      <c r="E21" s="27">
        <v>309965.0</v>
      </c>
      <c r="F21" s="26">
        <v>14570.0</v>
      </c>
      <c r="G21" s="9">
        <f t="shared" si="1"/>
        <v>158144.69</v>
      </c>
      <c r="H21" s="9">
        <f t="shared" si="2"/>
        <v>32.7638998</v>
      </c>
      <c r="I21" s="25"/>
      <c r="J21" s="14"/>
      <c r="K21" s="15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>
        <v>19.0</v>
      </c>
      <c r="B22" s="17" t="s">
        <v>30</v>
      </c>
      <c r="C22" s="26">
        <v>181420.0</v>
      </c>
      <c r="D22" s="26">
        <v>150190.0</v>
      </c>
      <c r="E22" s="27">
        <v>110732.0</v>
      </c>
      <c r="F22" s="26">
        <v>3928.0</v>
      </c>
      <c r="G22" s="9">
        <f t="shared" si="1"/>
        <v>35530</v>
      </c>
      <c r="H22" s="9">
        <f t="shared" si="2"/>
        <v>23.65670151</v>
      </c>
      <c r="I22" s="25"/>
      <c r="J22" s="14"/>
      <c r="K22" s="15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>
        <v>20.0</v>
      </c>
      <c r="B23" s="17" t="s">
        <v>31</v>
      </c>
      <c r="C23" s="26">
        <v>627182.0</v>
      </c>
      <c r="D23" s="26">
        <v>542925.0</v>
      </c>
      <c r="E23" s="27">
        <v>404728.0</v>
      </c>
      <c r="F23" s="26">
        <v>8622.0</v>
      </c>
      <c r="G23" s="9">
        <f t="shared" si="1"/>
        <v>129575</v>
      </c>
      <c r="H23" s="9">
        <f t="shared" si="2"/>
        <v>23.86609569</v>
      </c>
      <c r="I23" s="25"/>
      <c r="J23" s="14"/>
      <c r="K23" s="15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>
        <v>21.0</v>
      </c>
      <c r="B24" s="17" t="s">
        <v>32</v>
      </c>
      <c r="C24" s="26">
        <v>1699739.0</v>
      </c>
      <c r="D24" s="26">
        <v>1607197.0</v>
      </c>
      <c r="E24" s="27">
        <v>780846.31</v>
      </c>
      <c r="F24" s="26">
        <v>52983.0</v>
      </c>
      <c r="G24" s="9">
        <f t="shared" si="1"/>
        <v>773367.69</v>
      </c>
      <c r="H24" s="9">
        <f t="shared" si="2"/>
        <v>48.11903519</v>
      </c>
      <c r="I24" s="25"/>
      <c r="J24" s="14"/>
      <c r="K24" s="15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>
        <v>22.0</v>
      </c>
      <c r="B25" s="17" t="s">
        <v>33</v>
      </c>
      <c r="C25" s="26">
        <v>657424.0</v>
      </c>
      <c r="D25" s="26">
        <v>627424.0</v>
      </c>
      <c r="E25" s="27">
        <v>382850.0</v>
      </c>
      <c r="F25" s="26">
        <v>20000.0</v>
      </c>
      <c r="G25" s="9">
        <f t="shared" si="1"/>
        <v>224574</v>
      </c>
      <c r="H25" s="9">
        <f t="shared" si="2"/>
        <v>35.79302035</v>
      </c>
      <c r="I25" s="25"/>
      <c r="J25" s="14"/>
      <c r="K25" s="15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5" t="s">
        <v>48</v>
      </c>
      <c r="B26" s="20"/>
      <c r="C26" s="36">
        <f t="shared" ref="C26:G26" si="3">SUM(C4:C25)</f>
        <v>41210096.3</v>
      </c>
      <c r="D26" s="36">
        <f t="shared" si="3"/>
        <v>40241769.33</v>
      </c>
      <c r="E26" s="36">
        <f t="shared" si="3"/>
        <v>27547232.32</v>
      </c>
      <c r="F26" s="36">
        <f t="shared" si="3"/>
        <v>1505615</v>
      </c>
      <c r="G26" s="36">
        <f t="shared" si="3"/>
        <v>11188922.01</v>
      </c>
      <c r="H26" s="36">
        <f t="shared" si="2"/>
        <v>27.80424965</v>
      </c>
      <c r="I26" s="37"/>
      <c r="J26" s="14"/>
      <c r="K26" s="15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38"/>
      <c r="F27" s="14"/>
      <c r="G27" s="14"/>
      <c r="H27" s="14"/>
      <c r="I27" s="14"/>
      <c r="J27" s="14"/>
      <c r="K27" s="15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38"/>
      <c r="F28" s="14"/>
      <c r="G28" s="14"/>
      <c r="H28" s="14"/>
      <c r="I28" s="14"/>
      <c r="J28" s="14"/>
      <c r="K28" s="15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38"/>
      <c r="F29" s="14"/>
      <c r="G29" s="14"/>
      <c r="H29" s="14"/>
      <c r="I29" s="14"/>
      <c r="J29" s="14"/>
      <c r="K29" s="15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38"/>
      <c r="F30" s="14"/>
      <c r="G30" s="14"/>
      <c r="H30" s="14"/>
      <c r="I30" s="14"/>
      <c r="J30" s="14"/>
      <c r="K30" s="15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38"/>
      <c r="F31" s="14"/>
      <c r="G31" s="14"/>
      <c r="H31" s="14"/>
      <c r="I31" s="14"/>
      <c r="J31" s="14"/>
      <c r="K31" s="15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38"/>
      <c r="F32" s="14"/>
      <c r="G32" s="14"/>
      <c r="H32" s="14"/>
      <c r="I32" s="14"/>
      <c r="J32" s="14"/>
      <c r="K32" s="15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38"/>
      <c r="F33" s="14"/>
      <c r="G33" s="14"/>
      <c r="H33" s="14"/>
      <c r="I33" s="14"/>
      <c r="J33" s="14"/>
      <c r="K33" s="15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38"/>
      <c r="F34" s="14"/>
      <c r="G34" s="14"/>
      <c r="H34" s="14"/>
      <c r="I34" s="14"/>
      <c r="J34" s="14"/>
      <c r="K34" s="15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38"/>
      <c r="F35" s="14"/>
      <c r="G35" s="14"/>
      <c r="H35" s="14"/>
      <c r="I35" s="14"/>
      <c r="J35" s="14"/>
      <c r="K35" s="15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38"/>
      <c r="F36" s="14"/>
      <c r="G36" s="14"/>
      <c r="H36" s="14"/>
      <c r="I36" s="14"/>
      <c r="J36" s="14"/>
      <c r="K36" s="15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38"/>
      <c r="F37" s="14"/>
      <c r="G37" s="14"/>
      <c r="H37" s="14"/>
      <c r="I37" s="14"/>
      <c r="J37" s="14"/>
      <c r="K37" s="15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38"/>
      <c r="F38" s="14"/>
      <c r="G38" s="14"/>
      <c r="H38" s="14"/>
      <c r="I38" s="14"/>
      <c r="J38" s="14"/>
      <c r="K38" s="15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38"/>
      <c r="F39" s="14"/>
      <c r="G39" s="14"/>
      <c r="H39" s="14"/>
      <c r="I39" s="14"/>
      <c r="J39" s="14"/>
      <c r="K39" s="15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38"/>
      <c r="F40" s="14"/>
      <c r="G40" s="14"/>
      <c r="H40" s="14"/>
      <c r="I40" s="14"/>
      <c r="J40" s="14"/>
      <c r="K40" s="15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38"/>
      <c r="F41" s="14"/>
      <c r="G41" s="14"/>
      <c r="H41" s="14"/>
      <c r="I41" s="14"/>
      <c r="J41" s="14"/>
      <c r="K41" s="15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38"/>
      <c r="F42" s="14"/>
      <c r="G42" s="14"/>
      <c r="H42" s="14"/>
      <c r="I42" s="14"/>
      <c r="J42" s="14"/>
      <c r="K42" s="15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38"/>
      <c r="F43" s="14"/>
      <c r="G43" s="14"/>
      <c r="H43" s="14"/>
      <c r="I43" s="14"/>
      <c r="J43" s="14"/>
      <c r="K43" s="15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38"/>
      <c r="F44" s="14"/>
      <c r="G44" s="14"/>
      <c r="H44" s="14"/>
      <c r="I44" s="14"/>
      <c r="J44" s="14"/>
      <c r="K44" s="15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38"/>
      <c r="F45" s="14"/>
      <c r="G45" s="14"/>
      <c r="H45" s="14"/>
      <c r="I45" s="14"/>
      <c r="J45" s="14"/>
      <c r="K45" s="15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38"/>
      <c r="F46" s="14"/>
      <c r="G46" s="14"/>
      <c r="H46" s="14"/>
      <c r="I46" s="14"/>
      <c r="J46" s="14"/>
      <c r="K46" s="15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38"/>
      <c r="F47" s="14"/>
      <c r="G47" s="14"/>
      <c r="H47" s="14"/>
      <c r="I47" s="14"/>
      <c r="J47" s="14"/>
      <c r="K47" s="15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38"/>
      <c r="F48" s="14"/>
      <c r="G48" s="14"/>
      <c r="H48" s="14"/>
      <c r="I48" s="14"/>
      <c r="J48" s="14"/>
      <c r="K48" s="15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38"/>
      <c r="F49" s="14"/>
      <c r="G49" s="14"/>
      <c r="H49" s="14"/>
      <c r="I49" s="14"/>
      <c r="J49" s="14"/>
      <c r="K49" s="15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38"/>
      <c r="F50" s="14"/>
      <c r="G50" s="14"/>
      <c r="H50" s="14"/>
      <c r="I50" s="14"/>
      <c r="J50" s="14"/>
      <c r="K50" s="15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38"/>
      <c r="F51" s="14"/>
      <c r="G51" s="14"/>
      <c r="H51" s="14"/>
      <c r="I51" s="14"/>
      <c r="J51" s="14"/>
      <c r="K51" s="15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38"/>
      <c r="F52" s="14"/>
      <c r="G52" s="14"/>
      <c r="H52" s="14"/>
      <c r="I52" s="14"/>
      <c r="J52" s="14"/>
      <c r="K52" s="15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38"/>
      <c r="F53" s="14"/>
      <c r="G53" s="14"/>
      <c r="H53" s="14"/>
      <c r="I53" s="14"/>
      <c r="J53" s="14"/>
      <c r="K53" s="15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38"/>
      <c r="F54" s="14"/>
      <c r="G54" s="14"/>
      <c r="H54" s="14"/>
      <c r="I54" s="14"/>
      <c r="J54" s="14"/>
      <c r="K54" s="15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38"/>
      <c r="F55" s="14"/>
      <c r="G55" s="14"/>
      <c r="H55" s="14"/>
      <c r="I55" s="14"/>
      <c r="J55" s="14"/>
      <c r="K55" s="15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38"/>
      <c r="F56" s="14"/>
      <c r="G56" s="14"/>
      <c r="H56" s="14"/>
      <c r="I56" s="14"/>
      <c r="J56" s="14"/>
      <c r="K56" s="15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38"/>
      <c r="F57" s="14"/>
      <c r="G57" s="14"/>
      <c r="H57" s="14"/>
      <c r="I57" s="14"/>
      <c r="J57" s="14"/>
      <c r="K57" s="15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38"/>
      <c r="F58" s="14"/>
      <c r="G58" s="14"/>
      <c r="H58" s="14"/>
      <c r="I58" s="14"/>
      <c r="J58" s="14"/>
      <c r="K58" s="15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38"/>
      <c r="F59" s="14"/>
      <c r="G59" s="14"/>
      <c r="H59" s="14"/>
      <c r="I59" s="14"/>
      <c r="J59" s="14"/>
      <c r="K59" s="15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38"/>
      <c r="F60" s="14"/>
      <c r="G60" s="14"/>
      <c r="H60" s="14"/>
      <c r="I60" s="14"/>
      <c r="J60" s="14"/>
      <c r="K60" s="15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38"/>
      <c r="F61" s="14"/>
      <c r="G61" s="14"/>
      <c r="H61" s="14"/>
      <c r="I61" s="14"/>
      <c r="J61" s="14"/>
      <c r="K61" s="15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38"/>
      <c r="F62" s="14"/>
      <c r="G62" s="14"/>
      <c r="H62" s="14"/>
      <c r="I62" s="14"/>
      <c r="J62" s="14"/>
      <c r="K62" s="15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38"/>
      <c r="F63" s="14"/>
      <c r="G63" s="14"/>
      <c r="H63" s="14"/>
      <c r="I63" s="14"/>
      <c r="J63" s="14"/>
      <c r="K63" s="15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38"/>
      <c r="F64" s="14"/>
      <c r="G64" s="14"/>
      <c r="H64" s="14"/>
      <c r="I64" s="14"/>
      <c r="J64" s="14"/>
      <c r="K64" s="15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38"/>
      <c r="F65" s="14"/>
      <c r="G65" s="14"/>
      <c r="H65" s="14"/>
      <c r="I65" s="14"/>
      <c r="J65" s="14"/>
      <c r="K65" s="15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38"/>
      <c r="F66" s="14"/>
      <c r="G66" s="14"/>
      <c r="H66" s="14"/>
      <c r="I66" s="14"/>
      <c r="J66" s="14"/>
      <c r="K66" s="15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38"/>
      <c r="F67" s="14"/>
      <c r="G67" s="14"/>
      <c r="H67" s="14"/>
      <c r="I67" s="14"/>
      <c r="J67" s="14"/>
      <c r="K67" s="15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38"/>
      <c r="F68" s="14"/>
      <c r="G68" s="14"/>
      <c r="H68" s="14"/>
      <c r="I68" s="14"/>
      <c r="J68" s="14"/>
      <c r="K68" s="15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38"/>
      <c r="F69" s="14"/>
      <c r="G69" s="14"/>
      <c r="H69" s="14"/>
      <c r="I69" s="14"/>
      <c r="J69" s="14"/>
      <c r="K69" s="15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38"/>
      <c r="F70" s="14"/>
      <c r="G70" s="14"/>
      <c r="H70" s="14"/>
      <c r="I70" s="14"/>
      <c r="J70" s="14"/>
      <c r="K70" s="15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38"/>
      <c r="F71" s="14"/>
      <c r="G71" s="14"/>
      <c r="H71" s="14"/>
      <c r="I71" s="14"/>
      <c r="J71" s="14"/>
      <c r="K71" s="15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38"/>
      <c r="F72" s="14"/>
      <c r="G72" s="14"/>
      <c r="H72" s="14"/>
      <c r="I72" s="14"/>
      <c r="J72" s="14"/>
      <c r="K72" s="15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38"/>
      <c r="F73" s="14"/>
      <c r="G73" s="14"/>
      <c r="H73" s="14"/>
      <c r="I73" s="14"/>
      <c r="J73" s="14"/>
      <c r="K73" s="15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38"/>
      <c r="F74" s="14"/>
      <c r="G74" s="14"/>
      <c r="H74" s="14"/>
      <c r="I74" s="14"/>
      <c r="J74" s="14"/>
      <c r="K74" s="15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38"/>
      <c r="F75" s="14"/>
      <c r="G75" s="14"/>
      <c r="H75" s="14"/>
      <c r="I75" s="14"/>
      <c r="J75" s="14"/>
      <c r="K75" s="15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38"/>
      <c r="F76" s="14"/>
      <c r="G76" s="14"/>
      <c r="H76" s="14"/>
      <c r="I76" s="14"/>
      <c r="J76" s="14"/>
      <c r="K76" s="15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38"/>
      <c r="F77" s="14"/>
      <c r="G77" s="14"/>
      <c r="H77" s="14"/>
      <c r="I77" s="14"/>
      <c r="J77" s="14"/>
      <c r="K77" s="15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38"/>
      <c r="F78" s="14"/>
      <c r="G78" s="14"/>
      <c r="H78" s="14"/>
      <c r="I78" s="14"/>
      <c r="J78" s="14"/>
      <c r="K78" s="15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38"/>
      <c r="F79" s="14"/>
      <c r="G79" s="14"/>
      <c r="H79" s="14"/>
      <c r="I79" s="14"/>
      <c r="J79" s="14"/>
      <c r="K79" s="15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38"/>
      <c r="F80" s="14"/>
      <c r="G80" s="14"/>
      <c r="H80" s="14"/>
      <c r="I80" s="14"/>
      <c r="J80" s="14"/>
      <c r="K80" s="15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38"/>
      <c r="F81" s="14"/>
      <c r="G81" s="14"/>
      <c r="H81" s="14"/>
      <c r="I81" s="14"/>
      <c r="J81" s="14"/>
      <c r="K81" s="15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38"/>
      <c r="F82" s="14"/>
      <c r="G82" s="14"/>
      <c r="H82" s="14"/>
      <c r="I82" s="14"/>
      <c r="J82" s="14"/>
      <c r="K82" s="15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38"/>
      <c r="F83" s="14"/>
      <c r="G83" s="14"/>
      <c r="H83" s="14"/>
      <c r="I83" s="14"/>
      <c r="J83" s="14"/>
      <c r="K83" s="15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38"/>
      <c r="F84" s="14"/>
      <c r="G84" s="14"/>
      <c r="H84" s="14"/>
      <c r="I84" s="14"/>
      <c r="J84" s="14"/>
      <c r="K84" s="15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38"/>
      <c r="F85" s="14"/>
      <c r="G85" s="14"/>
      <c r="H85" s="14"/>
      <c r="I85" s="14"/>
      <c r="J85" s="14"/>
      <c r="K85" s="15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38"/>
      <c r="F86" s="14"/>
      <c r="G86" s="14"/>
      <c r="H86" s="14"/>
      <c r="I86" s="14"/>
      <c r="J86" s="14"/>
      <c r="K86" s="15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38"/>
      <c r="F87" s="14"/>
      <c r="G87" s="14"/>
      <c r="H87" s="14"/>
      <c r="I87" s="14"/>
      <c r="J87" s="14"/>
      <c r="K87" s="15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38"/>
      <c r="F88" s="14"/>
      <c r="G88" s="14"/>
      <c r="H88" s="14"/>
      <c r="I88" s="14"/>
      <c r="J88" s="14"/>
      <c r="K88" s="15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38"/>
      <c r="F89" s="14"/>
      <c r="G89" s="14"/>
      <c r="H89" s="14"/>
      <c r="I89" s="14"/>
      <c r="J89" s="14"/>
      <c r="K89" s="15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38"/>
      <c r="F90" s="14"/>
      <c r="G90" s="14"/>
      <c r="H90" s="14"/>
      <c r="I90" s="14"/>
      <c r="J90" s="14"/>
      <c r="K90" s="15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38"/>
      <c r="F91" s="14"/>
      <c r="G91" s="14"/>
      <c r="H91" s="14"/>
      <c r="I91" s="14"/>
      <c r="J91" s="14"/>
      <c r="K91" s="15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38"/>
      <c r="F92" s="14"/>
      <c r="G92" s="14"/>
      <c r="H92" s="14"/>
      <c r="I92" s="14"/>
      <c r="J92" s="14"/>
      <c r="K92" s="15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38"/>
      <c r="F93" s="14"/>
      <c r="G93" s="14"/>
      <c r="H93" s="14"/>
      <c r="I93" s="14"/>
      <c r="J93" s="14"/>
      <c r="K93" s="15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38"/>
      <c r="F94" s="14"/>
      <c r="G94" s="14"/>
      <c r="H94" s="14"/>
      <c r="I94" s="14"/>
      <c r="J94" s="14"/>
      <c r="K94" s="15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38"/>
      <c r="F95" s="14"/>
      <c r="G95" s="14"/>
      <c r="H95" s="14"/>
      <c r="I95" s="14"/>
      <c r="J95" s="14"/>
      <c r="K95" s="15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38"/>
      <c r="F96" s="14"/>
      <c r="G96" s="14"/>
      <c r="H96" s="14"/>
      <c r="I96" s="14"/>
      <c r="J96" s="14"/>
      <c r="K96" s="15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38"/>
      <c r="F97" s="14"/>
      <c r="G97" s="14"/>
      <c r="H97" s="14"/>
      <c r="I97" s="14"/>
      <c r="J97" s="14"/>
      <c r="K97" s="15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38"/>
      <c r="F98" s="14"/>
      <c r="G98" s="14"/>
      <c r="H98" s="14"/>
      <c r="I98" s="14"/>
      <c r="J98" s="14"/>
      <c r="K98" s="15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38"/>
      <c r="F99" s="14"/>
      <c r="G99" s="14"/>
      <c r="H99" s="14"/>
      <c r="I99" s="14"/>
      <c r="J99" s="14"/>
      <c r="K99" s="15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38"/>
      <c r="F100" s="14"/>
      <c r="G100" s="14"/>
      <c r="H100" s="14"/>
      <c r="I100" s="14"/>
      <c r="J100" s="14"/>
      <c r="K100" s="15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38"/>
      <c r="F101" s="14"/>
      <c r="G101" s="14"/>
      <c r="H101" s="14"/>
      <c r="I101" s="14"/>
      <c r="J101" s="14"/>
      <c r="K101" s="15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38"/>
      <c r="F102" s="14"/>
      <c r="G102" s="14"/>
      <c r="H102" s="14"/>
      <c r="I102" s="14"/>
      <c r="J102" s="14"/>
      <c r="K102" s="15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38"/>
      <c r="F103" s="14"/>
      <c r="G103" s="14"/>
      <c r="H103" s="14"/>
      <c r="I103" s="14"/>
      <c r="J103" s="14"/>
      <c r="K103" s="15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38"/>
      <c r="F104" s="14"/>
      <c r="G104" s="14"/>
      <c r="H104" s="14"/>
      <c r="I104" s="14"/>
      <c r="J104" s="14"/>
      <c r="K104" s="15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38"/>
      <c r="F105" s="14"/>
      <c r="G105" s="14"/>
      <c r="H105" s="14"/>
      <c r="I105" s="14"/>
      <c r="J105" s="14"/>
      <c r="K105" s="15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38"/>
      <c r="F106" s="14"/>
      <c r="G106" s="14"/>
      <c r="H106" s="14"/>
      <c r="I106" s="14"/>
      <c r="J106" s="14"/>
      <c r="K106" s="15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38"/>
      <c r="F107" s="14"/>
      <c r="G107" s="14"/>
      <c r="H107" s="14"/>
      <c r="I107" s="14"/>
      <c r="J107" s="14"/>
      <c r="K107" s="15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38"/>
      <c r="F108" s="14"/>
      <c r="G108" s="14"/>
      <c r="H108" s="14"/>
      <c r="I108" s="14"/>
      <c r="J108" s="14"/>
      <c r="K108" s="15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38"/>
      <c r="F109" s="14"/>
      <c r="G109" s="14"/>
      <c r="H109" s="14"/>
      <c r="I109" s="14"/>
      <c r="J109" s="14"/>
      <c r="K109" s="15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38"/>
      <c r="F110" s="14"/>
      <c r="G110" s="14"/>
      <c r="H110" s="14"/>
      <c r="I110" s="14"/>
      <c r="J110" s="14"/>
      <c r="K110" s="15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38"/>
      <c r="F111" s="14"/>
      <c r="G111" s="14"/>
      <c r="H111" s="14"/>
      <c r="I111" s="14"/>
      <c r="J111" s="14"/>
      <c r="K111" s="15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38"/>
      <c r="F112" s="14"/>
      <c r="G112" s="14"/>
      <c r="H112" s="14"/>
      <c r="I112" s="14"/>
      <c r="J112" s="14"/>
      <c r="K112" s="15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38"/>
      <c r="F113" s="14"/>
      <c r="G113" s="14"/>
      <c r="H113" s="14"/>
      <c r="I113" s="14"/>
      <c r="J113" s="14"/>
      <c r="K113" s="15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38"/>
      <c r="F114" s="14"/>
      <c r="G114" s="14"/>
      <c r="H114" s="14"/>
      <c r="I114" s="14"/>
      <c r="J114" s="14"/>
      <c r="K114" s="15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38"/>
      <c r="F115" s="14"/>
      <c r="G115" s="14"/>
      <c r="H115" s="14"/>
      <c r="I115" s="14"/>
      <c r="J115" s="14"/>
      <c r="K115" s="15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38"/>
      <c r="F116" s="14"/>
      <c r="G116" s="14"/>
      <c r="H116" s="14"/>
      <c r="I116" s="14"/>
      <c r="J116" s="14"/>
      <c r="K116" s="15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38"/>
      <c r="F117" s="14"/>
      <c r="G117" s="14"/>
      <c r="H117" s="14"/>
      <c r="I117" s="14"/>
      <c r="J117" s="14"/>
      <c r="K117" s="15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38"/>
      <c r="F118" s="14"/>
      <c r="G118" s="14"/>
      <c r="H118" s="14"/>
      <c r="I118" s="14"/>
      <c r="J118" s="14"/>
      <c r="K118" s="15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38"/>
      <c r="F119" s="14"/>
      <c r="G119" s="14"/>
      <c r="H119" s="14"/>
      <c r="I119" s="14"/>
      <c r="J119" s="14"/>
      <c r="K119" s="15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38"/>
      <c r="F120" s="14"/>
      <c r="G120" s="14"/>
      <c r="H120" s="14"/>
      <c r="I120" s="14"/>
      <c r="J120" s="14"/>
      <c r="K120" s="15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38"/>
      <c r="F121" s="14"/>
      <c r="G121" s="14"/>
      <c r="H121" s="14"/>
      <c r="I121" s="14"/>
      <c r="J121" s="14"/>
      <c r="K121" s="15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38"/>
      <c r="F122" s="14"/>
      <c r="G122" s="14"/>
      <c r="H122" s="14"/>
      <c r="I122" s="14"/>
      <c r="J122" s="14"/>
      <c r="K122" s="15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38"/>
      <c r="F123" s="14"/>
      <c r="G123" s="14"/>
      <c r="H123" s="14"/>
      <c r="I123" s="14"/>
      <c r="J123" s="14"/>
      <c r="K123" s="15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38"/>
      <c r="F124" s="14"/>
      <c r="G124" s="14"/>
      <c r="H124" s="14"/>
      <c r="I124" s="14"/>
      <c r="J124" s="14"/>
      <c r="K124" s="15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38"/>
      <c r="F125" s="14"/>
      <c r="G125" s="14"/>
      <c r="H125" s="14"/>
      <c r="I125" s="14"/>
      <c r="J125" s="14"/>
      <c r="K125" s="15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38"/>
      <c r="F126" s="14"/>
      <c r="G126" s="14"/>
      <c r="H126" s="14"/>
      <c r="I126" s="14"/>
      <c r="J126" s="14"/>
      <c r="K126" s="15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38"/>
      <c r="F127" s="14"/>
      <c r="G127" s="14"/>
      <c r="H127" s="14"/>
      <c r="I127" s="14"/>
      <c r="J127" s="14"/>
      <c r="K127" s="15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38"/>
      <c r="F128" s="14"/>
      <c r="G128" s="14"/>
      <c r="H128" s="14"/>
      <c r="I128" s="14"/>
      <c r="J128" s="14"/>
      <c r="K128" s="15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38"/>
      <c r="F129" s="14"/>
      <c r="G129" s="14"/>
      <c r="H129" s="14"/>
      <c r="I129" s="14"/>
      <c r="J129" s="14"/>
      <c r="K129" s="15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38"/>
      <c r="F130" s="14"/>
      <c r="G130" s="14"/>
      <c r="H130" s="14"/>
      <c r="I130" s="14"/>
      <c r="J130" s="14"/>
      <c r="K130" s="15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38"/>
      <c r="F131" s="14"/>
      <c r="G131" s="14"/>
      <c r="H131" s="14"/>
      <c r="I131" s="14"/>
      <c r="J131" s="14"/>
      <c r="K131" s="15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38"/>
      <c r="F132" s="14"/>
      <c r="G132" s="14"/>
      <c r="H132" s="14"/>
      <c r="I132" s="14"/>
      <c r="J132" s="14"/>
      <c r="K132" s="15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38"/>
      <c r="F133" s="14"/>
      <c r="G133" s="14"/>
      <c r="H133" s="14"/>
      <c r="I133" s="14"/>
      <c r="J133" s="14"/>
      <c r="K133" s="15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38"/>
      <c r="F134" s="14"/>
      <c r="G134" s="14"/>
      <c r="H134" s="14"/>
      <c r="I134" s="14"/>
      <c r="J134" s="14"/>
      <c r="K134" s="15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38"/>
      <c r="F135" s="14"/>
      <c r="G135" s="14"/>
      <c r="H135" s="14"/>
      <c r="I135" s="14"/>
      <c r="J135" s="14"/>
      <c r="K135" s="15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38"/>
      <c r="F136" s="14"/>
      <c r="G136" s="14"/>
      <c r="H136" s="14"/>
      <c r="I136" s="14"/>
      <c r="J136" s="14"/>
      <c r="K136" s="15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38"/>
      <c r="F137" s="14"/>
      <c r="G137" s="14"/>
      <c r="H137" s="14"/>
      <c r="I137" s="14"/>
      <c r="J137" s="14"/>
      <c r="K137" s="15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38"/>
      <c r="F138" s="14"/>
      <c r="G138" s="14"/>
      <c r="H138" s="14"/>
      <c r="I138" s="14"/>
      <c r="J138" s="14"/>
      <c r="K138" s="15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38"/>
      <c r="F139" s="14"/>
      <c r="G139" s="14"/>
      <c r="H139" s="14"/>
      <c r="I139" s="14"/>
      <c r="J139" s="14"/>
      <c r="K139" s="15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38"/>
      <c r="F140" s="14"/>
      <c r="G140" s="14"/>
      <c r="H140" s="14"/>
      <c r="I140" s="14"/>
      <c r="J140" s="14"/>
      <c r="K140" s="15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38"/>
      <c r="F141" s="14"/>
      <c r="G141" s="14"/>
      <c r="H141" s="14"/>
      <c r="I141" s="14"/>
      <c r="J141" s="14"/>
      <c r="K141" s="15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38"/>
      <c r="F142" s="14"/>
      <c r="G142" s="14"/>
      <c r="H142" s="14"/>
      <c r="I142" s="14"/>
      <c r="J142" s="14"/>
      <c r="K142" s="15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38"/>
      <c r="F143" s="14"/>
      <c r="G143" s="14"/>
      <c r="H143" s="14"/>
      <c r="I143" s="14"/>
      <c r="J143" s="14"/>
      <c r="K143" s="15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38"/>
      <c r="F144" s="14"/>
      <c r="G144" s="14"/>
      <c r="H144" s="14"/>
      <c r="I144" s="14"/>
      <c r="J144" s="14"/>
      <c r="K144" s="15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38"/>
      <c r="F145" s="14"/>
      <c r="G145" s="14"/>
      <c r="H145" s="14"/>
      <c r="I145" s="14"/>
      <c r="J145" s="14"/>
      <c r="K145" s="15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38"/>
      <c r="F146" s="14"/>
      <c r="G146" s="14"/>
      <c r="H146" s="14"/>
      <c r="I146" s="14"/>
      <c r="J146" s="14"/>
      <c r="K146" s="15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38"/>
      <c r="F147" s="14"/>
      <c r="G147" s="14"/>
      <c r="H147" s="14"/>
      <c r="I147" s="14"/>
      <c r="J147" s="14"/>
      <c r="K147" s="15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38"/>
      <c r="F148" s="14"/>
      <c r="G148" s="14"/>
      <c r="H148" s="14"/>
      <c r="I148" s="14"/>
      <c r="J148" s="14"/>
      <c r="K148" s="15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38"/>
      <c r="F149" s="14"/>
      <c r="G149" s="14"/>
      <c r="H149" s="14"/>
      <c r="I149" s="14"/>
      <c r="J149" s="14"/>
      <c r="K149" s="15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38"/>
      <c r="F150" s="14"/>
      <c r="G150" s="14"/>
      <c r="H150" s="14"/>
      <c r="I150" s="14"/>
      <c r="J150" s="14"/>
      <c r="K150" s="15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38"/>
      <c r="F151" s="14"/>
      <c r="G151" s="14"/>
      <c r="H151" s="14"/>
      <c r="I151" s="14"/>
      <c r="J151" s="14"/>
      <c r="K151" s="15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38"/>
      <c r="F152" s="14"/>
      <c r="G152" s="14"/>
      <c r="H152" s="14"/>
      <c r="I152" s="14"/>
      <c r="J152" s="14"/>
      <c r="K152" s="15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38"/>
      <c r="F153" s="14"/>
      <c r="G153" s="14"/>
      <c r="H153" s="14"/>
      <c r="I153" s="14"/>
      <c r="J153" s="14"/>
      <c r="K153" s="15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38"/>
      <c r="F154" s="14"/>
      <c r="G154" s="14"/>
      <c r="H154" s="14"/>
      <c r="I154" s="14"/>
      <c r="J154" s="14"/>
      <c r="K154" s="15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38"/>
      <c r="F155" s="14"/>
      <c r="G155" s="14"/>
      <c r="H155" s="14"/>
      <c r="I155" s="14"/>
      <c r="J155" s="14"/>
      <c r="K155" s="15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38"/>
      <c r="F156" s="14"/>
      <c r="G156" s="14"/>
      <c r="H156" s="14"/>
      <c r="I156" s="14"/>
      <c r="J156" s="14"/>
      <c r="K156" s="15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38"/>
      <c r="F157" s="14"/>
      <c r="G157" s="14"/>
      <c r="H157" s="14"/>
      <c r="I157" s="14"/>
      <c r="J157" s="14"/>
      <c r="K157" s="15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38"/>
      <c r="F158" s="14"/>
      <c r="G158" s="14"/>
      <c r="H158" s="14"/>
      <c r="I158" s="14"/>
      <c r="J158" s="14"/>
      <c r="K158" s="15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38"/>
      <c r="F159" s="14"/>
      <c r="G159" s="14"/>
      <c r="H159" s="14"/>
      <c r="I159" s="14"/>
      <c r="J159" s="14"/>
      <c r="K159" s="15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38"/>
      <c r="F160" s="14"/>
      <c r="G160" s="14"/>
      <c r="H160" s="14"/>
      <c r="I160" s="14"/>
      <c r="J160" s="14"/>
      <c r="K160" s="15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38"/>
      <c r="F161" s="14"/>
      <c r="G161" s="14"/>
      <c r="H161" s="14"/>
      <c r="I161" s="14"/>
      <c r="J161" s="14"/>
      <c r="K161" s="15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38"/>
      <c r="F162" s="14"/>
      <c r="G162" s="14"/>
      <c r="H162" s="14"/>
      <c r="I162" s="14"/>
      <c r="J162" s="14"/>
      <c r="K162" s="15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38"/>
      <c r="F163" s="14"/>
      <c r="G163" s="14"/>
      <c r="H163" s="14"/>
      <c r="I163" s="14"/>
      <c r="J163" s="14"/>
      <c r="K163" s="15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38"/>
      <c r="F164" s="14"/>
      <c r="G164" s="14"/>
      <c r="H164" s="14"/>
      <c r="I164" s="14"/>
      <c r="J164" s="14"/>
      <c r="K164" s="15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38"/>
      <c r="F165" s="14"/>
      <c r="G165" s="14"/>
      <c r="H165" s="14"/>
      <c r="I165" s="14"/>
      <c r="J165" s="14"/>
      <c r="K165" s="15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38"/>
      <c r="F166" s="14"/>
      <c r="G166" s="14"/>
      <c r="H166" s="14"/>
      <c r="I166" s="14"/>
      <c r="J166" s="14"/>
      <c r="K166" s="15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38"/>
      <c r="F167" s="14"/>
      <c r="G167" s="14"/>
      <c r="H167" s="14"/>
      <c r="I167" s="14"/>
      <c r="J167" s="14"/>
      <c r="K167" s="15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38"/>
      <c r="F168" s="14"/>
      <c r="G168" s="14"/>
      <c r="H168" s="14"/>
      <c r="I168" s="14"/>
      <c r="J168" s="14"/>
      <c r="K168" s="15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38"/>
      <c r="F169" s="14"/>
      <c r="G169" s="14"/>
      <c r="H169" s="14"/>
      <c r="I169" s="14"/>
      <c r="J169" s="14"/>
      <c r="K169" s="15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38"/>
      <c r="F170" s="14"/>
      <c r="G170" s="14"/>
      <c r="H170" s="14"/>
      <c r="I170" s="14"/>
      <c r="J170" s="14"/>
      <c r="K170" s="15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38"/>
      <c r="F171" s="14"/>
      <c r="G171" s="14"/>
      <c r="H171" s="14"/>
      <c r="I171" s="14"/>
      <c r="J171" s="14"/>
      <c r="K171" s="15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38"/>
      <c r="F172" s="14"/>
      <c r="G172" s="14"/>
      <c r="H172" s="14"/>
      <c r="I172" s="14"/>
      <c r="J172" s="14"/>
      <c r="K172" s="15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38"/>
      <c r="F173" s="14"/>
      <c r="G173" s="14"/>
      <c r="H173" s="14"/>
      <c r="I173" s="14"/>
      <c r="J173" s="14"/>
      <c r="K173" s="15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38"/>
      <c r="F174" s="14"/>
      <c r="G174" s="14"/>
      <c r="H174" s="14"/>
      <c r="I174" s="14"/>
      <c r="J174" s="14"/>
      <c r="K174" s="15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38"/>
      <c r="F175" s="14"/>
      <c r="G175" s="14"/>
      <c r="H175" s="14"/>
      <c r="I175" s="14"/>
      <c r="J175" s="14"/>
      <c r="K175" s="15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38"/>
      <c r="F176" s="14"/>
      <c r="G176" s="14"/>
      <c r="H176" s="14"/>
      <c r="I176" s="14"/>
      <c r="J176" s="14"/>
      <c r="K176" s="15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38"/>
      <c r="F177" s="14"/>
      <c r="G177" s="14"/>
      <c r="H177" s="14"/>
      <c r="I177" s="14"/>
      <c r="J177" s="14"/>
      <c r="K177" s="15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38"/>
      <c r="F178" s="14"/>
      <c r="G178" s="14"/>
      <c r="H178" s="14"/>
      <c r="I178" s="14"/>
      <c r="J178" s="14"/>
      <c r="K178" s="15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38"/>
      <c r="F179" s="14"/>
      <c r="G179" s="14"/>
      <c r="H179" s="14"/>
      <c r="I179" s="14"/>
      <c r="J179" s="14"/>
      <c r="K179" s="15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38"/>
      <c r="F180" s="14"/>
      <c r="G180" s="14"/>
      <c r="H180" s="14"/>
      <c r="I180" s="14"/>
      <c r="J180" s="14"/>
      <c r="K180" s="15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38"/>
      <c r="F181" s="14"/>
      <c r="G181" s="14"/>
      <c r="H181" s="14"/>
      <c r="I181" s="14"/>
      <c r="J181" s="14"/>
      <c r="K181" s="15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38"/>
      <c r="F182" s="14"/>
      <c r="G182" s="14"/>
      <c r="H182" s="14"/>
      <c r="I182" s="14"/>
      <c r="J182" s="14"/>
      <c r="K182" s="15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38"/>
      <c r="F183" s="14"/>
      <c r="G183" s="14"/>
      <c r="H183" s="14"/>
      <c r="I183" s="14"/>
      <c r="J183" s="14"/>
      <c r="K183" s="15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38"/>
      <c r="F184" s="14"/>
      <c r="G184" s="14"/>
      <c r="H184" s="14"/>
      <c r="I184" s="14"/>
      <c r="J184" s="14"/>
      <c r="K184" s="15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38"/>
      <c r="F185" s="14"/>
      <c r="G185" s="14"/>
      <c r="H185" s="14"/>
      <c r="I185" s="14"/>
      <c r="J185" s="14"/>
      <c r="K185" s="15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38"/>
      <c r="F186" s="14"/>
      <c r="G186" s="14"/>
      <c r="H186" s="14"/>
      <c r="I186" s="14"/>
      <c r="J186" s="14"/>
      <c r="K186" s="15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38"/>
      <c r="F187" s="14"/>
      <c r="G187" s="14"/>
      <c r="H187" s="14"/>
      <c r="I187" s="14"/>
      <c r="J187" s="14"/>
      <c r="K187" s="15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38"/>
      <c r="F188" s="14"/>
      <c r="G188" s="14"/>
      <c r="H188" s="14"/>
      <c r="I188" s="14"/>
      <c r="J188" s="14"/>
      <c r="K188" s="15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38"/>
      <c r="F189" s="14"/>
      <c r="G189" s="14"/>
      <c r="H189" s="14"/>
      <c r="I189" s="14"/>
      <c r="J189" s="14"/>
      <c r="K189" s="15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38"/>
      <c r="F190" s="14"/>
      <c r="G190" s="14"/>
      <c r="H190" s="14"/>
      <c r="I190" s="14"/>
      <c r="J190" s="14"/>
      <c r="K190" s="15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38"/>
      <c r="F191" s="14"/>
      <c r="G191" s="14"/>
      <c r="H191" s="14"/>
      <c r="I191" s="14"/>
      <c r="J191" s="14"/>
      <c r="K191" s="15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38"/>
      <c r="F192" s="14"/>
      <c r="G192" s="14"/>
      <c r="H192" s="14"/>
      <c r="I192" s="14"/>
      <c r="J192" s="14"/>
      <c r="K192" s="15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38"/>
      <c r="F193" s="14"/>
      <c r="G193" s="14"/>
      <c r="H193" s="14"/>
      <c r="I193" s="14"/>
      <c r="J193" s="14"/>
      <c r="K193" s="15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38"/>
      <c r="F194" s="14"/>
      <c r="G194" s="14"/>
      <c r="H194" s="14"/>
      <c r="I194" s="14"/>
      <c r="J194" s="14"/>
      <c r="K194" s="15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38"/>
      <c r="F195" s="14"/>
      <c r="G195" s="14"/>
      <c r="H195" s="14"/>
      <c r="I195" s="14"/>
      <c r="J195" s="14"/>
      <c r="K195" s="15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38"/>
      <c r="F196" s="14"/>
      <c r="G196" s="14"/>
      <c r="H196" s="14"/>
      <c r="I196" s="14"/>
      <c r="J196" s="14"/>
      <c r="K196" s="15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38"/>
      <c r="F197" s="14"/>
      <c r="G197" s="14"/>
      <c r="H197" s="14"/>
      <c r="I197" s="14"/>
      <c r="J197" s="14"/>
      <c r="K197" s="15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38"/>
      <c r="F198" s="14"/>
      <c r="G198" s="14"/>
      <c r="H198" s="14"/>
      <c r="I198" s="14"/>
      <c r="J198" s="14"/>
      <c r="K198" s="15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38"/>
      <c r="F199" s="14"/>
      <c r="G199" s="14"/>
      <c r="H199" s="14"/>
      <c r="I199" s="14"/>
      <c r="J199" s="14"/>
      <c r="K199" s="15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38"/>
      <c r="F200" s="14"/>
      <c r="G200" s="14"/>
      <c r="H200" s="14"/>
      <c r="I200" s="14"/>
      <c r="J200" s="14"/>
      <c r="K200" s="15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38"/>
      <c r="F201" s="14"/>
      <c r="G201" s="14"/>
      <c r="H201" s="14"/>
      <c r="I201" s="14"/>
      <c r="J201" s="14"/>
      <c r="K201" s="15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38"/>
      <c r="F202" s="14"/>
      <c r="G202" s="14"/>
      <c r="H202" s="14"/>
      <c r="I202" s="14"/>
      <c r="J202" s="14"/>
      <c r="K202" s="15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38"/>
      <c r="F203" s="14"/>
      <c r="G203" s="14"/>
      <c r="H203" s="14"/>
      <c r="I203" s="14"/>
      <c r="J203" s="14"/>
      <c r="K203" s="15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38"/>
      <c r="F204" s="14"/>
      <c r="G204" s="14"/>
      <c r="H204" s="14"/>
      <c r="I204" s="14"/>
      <c r="J204" s="14"/>
      <c r="K204" s="15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38"/>
      <c r="F205" s="14"/>
      <c r="G205" s="14"/>
      <c r="H205" s="14"/>
      <c r="I205" s="14"/>
      <c r="J205" s="14"/>
      <c r="K205" s="15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38"/>
      <c r="F206" s="14"/>
      <c r="G206" s="14"/>
      <c r="H206" s="14"/>
      <c r="I206" s="14"/>
      <c r="J206" s="14"/>
      <c r="K206" s="15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38"/>
      <c r="F207" s="14"/>
      <c r="G207" s="14"/>
      <c r="H207" s="14"/>
      <c r="I207" s="14"/>
      <c r="J207" s="14"/>
      <c r="K207" s="15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38"/>
      <c r="F208" s="14"/>
      <c r="G208" s="14"/>
      <c r="H208" s="14"/>
      <c r="I208" s="14"/>
      <c r="J208" s="14"/>
      <c r="K208" s="15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38"/>
      <c r="F209" s="14"/>
      <c r="G209" s="14"/>
      <c r="H209" s="14"/>
      <c r="I209" s="14"/>
      <c r="J209" s="14"/>
      <c r="K209" s="15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38"/>
      <c r="F210" s="14"/>
      <c r="G210" s="14"/>
      <c r="H210" s="14"/>
      <c r="I210" s="14"/>
      <c r="J210" s="14"/>
      <c r="K210" s="15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38"/>
      <c r="F211" s="14"/>
      <c r="G211" s="14"/>
      <c r="H211" s="14"/>
      <c r="I211" s="14"/>
      <c r="J211" s="14"/>
      <c r="K211" s="15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38"/>
      <c r="F212" s="14"/>
      <c r="G212" s="14"/>
      <c r="H212" s="14"/>
      <c r="I212" s="14"/>
      <c r="J212" s="14"/>
      <c r="K212" s="15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38"/>
      <c r="F213" s="14"/>
      <c r="G213" s="14"/>
      <c r="H213" s="14"/>
      <c r="I213" s="14"/>
      <c r="J213" s="14"/>
      <c r="K213" s="15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38"/>
      <c r="F214" s="14"/>
      <c r="G214" s="14"/>
      <c r="H214" s="14"/>
      <c r="I214" s="14"/>
      <c r="J214" s="14"/>
      <c r="K214" s="15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38"/>
      <c r="F215" s="14"/>
      <c r="G215" s="14"/>
      <c r="H215" s="14"/>
      <c r="I215" s="14"/>
      <c r="J215" s="14"/>
      <c r="K215" s="15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38"/>
      <c r="F216" s="14"/>
      <c r="G216" s="14"/>
      <c r="H216" s="14"/>
      <c r="I216" s="14"/>
      <c r="J216" s="14"/>
      <c r="K216" s="15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38"/>
      <c r="F217" s="14"/>
      <c r="G217" s="14"/>
      <c r="H217" s="14"/>
      <c r="I217" s="14"/>
      <c r="J217" s="14"/>
      <c r="K217" s="15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38"/>
      <c r="F218" s="14"/>
      <c r="G218" s="14"/>
      <c r="H218" s="14"/>
      <c r="I218" s="14"/>
      <c r="J218" s="14"/>
      <c r="K218" s="15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38"/>
      <c r="F219" s="14"/>
      <c r="G219" s="14"/>
      <c r="H219" s="14"/>
      <c r="I219" s="14"/>
      <c r="J219" s="14"/>
      <c r="K219" s="15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38"/>
      <c r="F220" s="14"/>
      <c r="G220" s="14"/>
      <c r="H220" s="14"/>
      <c r="I220" s="14"/>
      <c r="J220" s="14"/>
      <c r="K220" s="15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38"/>
      <c r="F221" s="14"/>
      <c r="G221" s="14"/>
      <c r="H221" s="14"/>
      <c r="I221" s="14"/>
      <c r="J221" s="14"/>
      <c r="K221" s="15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38"/>
      <c r="F222" s="14"/>
      <c r="G222" s="14"/>
      <c r="H222" s="14"/>
      <c r="I222" s="14"/>
      <c r="J222" s="14"/>
      <c r="K222" s="15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38"/>
      <c r="F223" s="14"/>
      <c r="G223" s="14"/>
      <c r="H223" s="14"/>
      <c r="I223" s="14"/>
      <c r="J223" s="14"/>
      <c r="K223" s="15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38"/>
      <c r="F224" s="14"/>
      <c r="G224" s="14"/>
      <c r="H224" s="14"/>
      <c r="I224" s="14"/>
      <c r="J224" s="14"/>
      <c r="K224" s="15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38"/>
      <c r="F225" s="14"/>
      <c r="G225" s="14"/>
      <c r="H225" s="14"/>
      <c r="I225" s="14"/>
      <c r="J225" s="14"/>
      <c r="K225" s="15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38"/>
      <c r="F226" s="14"/>
      <c r="G226" s="14"/>
      <c r="H226" s="14"/>
      <c r="I226" s="14"/>
      <c r="J226" s="14"/>
      <c r="K226" s="15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38"/>
      <c r="F227" s="14"/>
      <c r="G227" s="14"/>
      <c r="H227" s="14"/>
      <c r="I227" s="14"/>
      <c r="J227" s="14"/>
      <c r="K227" s="15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38"/>
      <c r="F228" s="14"/>
      <c r="G228" s="14"/>
      <c r="H228" s="14"/>
      <c r="I228" s="14"/>
      <c r="J228" s="14"/>
      <c r="K228" s="15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38"/>
      <c r="F229" s="14"/>
      <c r="G229" s="14"/>
      <c r="H229" s="14"/>
      <c r="I229" s="14"/>
      <c r="J229" s="14"/>
      <c r="K229" s="15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38"/>
      <c r="F230" s="14"/>
      <c r="G230" s="14"/>
      <c r="H230" s="14"/>
      <c r="I230" s="14"/>
      <c r="J230" s="14"/>
      <c r="K230" s="15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38"/>
      <c r="F231" s="14"/>
      <c r="G231" s="14"/>
      <c r="H231" s="14"/>
      <c r="I231" s="14"/>
      <c r="J231" s="14"/>
      <c r="K231" s="15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38"/>
      <c r="F232" s="14"/>
      <c r="G232" s="14"/>
      <c r="H232" s="14"/>
      <c r="I232" s="14"/>
      <c r="J232" s="14"/>
      <c r="K232" s="15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38"/>
      <c r="F233" s="14"/>
      <c r="G233" s="14"/>
      <c r="H233" s="14"/>
      <c r="I233" s="14"/>
      <c r="J233" s="14"/>
      <c r="K233" s="15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38"/>
      <c r="F234" s="14"/>
      <c r="G234" s="14"/>
      <c r="H234" s="14"/>
      <c r="I234" s="14"/>
      <c r="J234" s="14"/>
      <c r="K234" s="15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38"/>
      <c r="F235" s="14"/>
      <c r="G235" s="14"/>
      <c r="H235" s="14"/>
      <c r="I235" s="14"/>
      <c r="J235" s="14"/>
      <c r="K235" s="15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38"/>
      <c r="F236" s="14"/>
      <c r="G236" s="14"/>
      <c r="H236" s="14"/>
      <c r="I236" s="14"/>
      <c r="J236" s="14"/>
      <c r="K236" s="15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38"/>
      <c r="F237" s="14"/>
      <c r="G237" s="14"/>
      <c r="H237" s="14"/>
      <c r="I237" s="14"/>
      <c r="J237" s="14"/>
      <c r="K237" s="15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38"/>
      <c r="F238" s="14"/>
      <c r="G238" s="14"/>
      <c r="H238" s="14"/>
      <c r="I238" s="14"/>
      <c r="J238" s="14"/>
      <c r="K238" s="15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38"/>
      <c r="F239" s="14"/>
      <c r="G239" s="14"/>
      <c r="H239" s="14"/>
      <c r="I239" s="14"/>
      <c r="J239" s="14"/>
      <c r="K239" s="15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38"/>
      <c r="F240" s="14"/>
      <c r="G240" s="14"/>
      <c r="H240" s="14"/>
      <c r="I240" s="14"/>
      <c r="J240" s="14"/>
      <c r="K240" s="15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38"/>
      <c r="F241" s="14"/>
      <c r="G241" s="14"/>
      <c r="H241" s="14"/>
      <c r="I241" s="14"/>
      <c r="J241" s="14"/>
      <c r="K241" s="15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38"/>
      <c r="F242" s="14"/>
      <c r="G242" s="14"/>
      <c r="H242" s="14"/>
      <c r="I242" s="14"/>
      <c r="J242" s="14"/>
      <c r="K242" s="15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38"/>
      <c r="F243" s="14"/>
      <c r="G243" s="14"/>
      <c r="H243" s="14"/>
      <c r="I243" s="14"/>
      <c r="J243" s="14"/>
      <c r="K243" s="15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38"/>
      <c r="F244" s="14"/>
      <c r="G244" s="14"/>
      <c r="H244" s="14"/>
      <c r="I244" s="14"/>
      <c r="J244" s="14"/>
      <c r="K244" s="15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38"/>
      <c r="F245" s="14"/>
      <c r="G245" s="14"/>
      <c r="H245" s="14"/>
      <c r="I245" s="14"/>
      <c r="J245" s="14"/>
      <c r="K245" s="15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38"/>
      <c r="F246" s="14"/>
      <c r="G246" s="14"/>
      <c r="H246" s="14"/>
      <c r="I246" s="14"/>
      <c r="J246" s="14"/>
      <c r="K246" s="15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38"/>
      <c r="F247" s="14"/>
      <c r="G247" s="14"/>
      <c r="H247" s="14"/>
      <c r="I247" s="14"/>
      <c r="J247" s="14"/>
      <c r="K247" s="15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38"/>
      <c r="F248" s="14"/>
      <c r="G248" s="14"/>
      <c r="H248" s="14"/>
      <c r="I248" s="14"/>
      <c r="J248" s="14"/>
      <c r="K248" s="15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38"/>
      <c r="F249" s="14"/>
      <c r="G249" s="14"/>
      <c r="H249" s="14"/>
      <c r="I249" s="14"/>
      <c r="J249" s="14"/>
      <c r="K249" s="15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38"/>
      <c r="F250" s="14"/>
      <c r="G250" s="14"/>
      <c r="H250" s="14"/>
      <c r="I250" s="14"/>
      <c r="J250" s="14"/>
      <c r="K250" s="15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38"/>
      <c r="F251" s="14"/>
      <c r="G251" s="14"/>
      <c r="H251" s="14"/>
      <c r="I251" s="14"/>
      <c r="J251" s="14"/>
      <c r="K251" s="15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38"/>
      <c r="F252" s="14"/>
      <c r="G252" s="14"/>
      <c r="H252" s="14"/>
      <c r="I252" s="14"/>
      <c r="J252" s="14"/>
      <c r="K252" s="15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38"/>
      <c r="F253" s="14"/>
      <c r="G253" s="14"/>
      <c r="H253" s="14"/>
      <c r="I253" s="14"/>
      <c r="J253" s="14"/>
      <c r="K253" s="15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38"/>
      <c r="F254" s="14"/>
      <c r="G254" s="14"/>
      <c r="H254" s="14"/>
      <c r="I254" s="14"/>
      <c r="J254" s="14"/>
      <c r="K254" s="15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38"/>
      <c r="F255" s="14"/>
      <c r="G255" s="14"/>
      <c r="H255" s="14"/>
      <c r="I255" s="14"/>
      <c r="J255" s="14"/>
      <c r="K255" s="15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38"/>
      <c r="F256" s="14"/>
      <c r="G256" s="14"/>
      <c r="H256" s="14"/>
      <c r="I256" s="14"/>
      <c r="J256" s="14"/>
      <c r="K256" s="15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38"/>
      <c r="F257" s="14"/>
      <c r="G257" s="14"/>
      <c r="H257" s="14"/>
      <c r="I257" s="14"/>
      <c r="J257" s="14"/>
      <c r="K257" s="15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38"/>
      <c r="F258" s="14"/>
      <c r="G258" s="14"/>
      <c r="H258" s="14"/>
      <c r="I258" s="14"/>
      <c r="J258" s="14"/>
      <c r="K258" s="15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38"/>
      <c r="F259" s="14"/>
      <c r="G259" s="14"/>
      <c r="H259" s="14"/>
      <c r="I259" s="14"/>
      <c r="J259" s="14"/>
      <c r="K259" s="15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38"/>
      <c r="F260" s="14"/>
      <c r="G260" s="14"/>
      <c r="H260" s="14"/>
      <c r="I260" s="14"/>
      <c r="J260" s="14"/>
      <c r="K260" s="15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38"/>
      <c r="F261" s="14"/>
      <c r="G261" s="14"/>
      <c r="H261" s="14"/>
      <c r="I261" s="14"/>
      <c r="J261" s="14"/>
      <c r="K261" s="15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38"/>
      <c r="F262" s="14"/>
      <c r="G262" s="14"/>
      <c r="H262" s="14"/>
      <c r="I262" s="14"/>
      <c r="J262" s="14"/>
      <c r="K262" s="15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38"/>
      <c r="F263" s="14"/>
      <c r="G263" s="14"/>
      <c r="H263" s="14"/>
      <c r="I263" s="14"/>
      <c r="J263" s="14"/>
      <c r="K263" s="15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38"/>
      <c r="F264" s="14"/>
      <c r="G264" s="14"/>
      <c r="H264" s="14"/>
      <c r="I264" s="14"/>
      <c r="J264" s="14"/>
      <c r="K264" s="15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38"/>
      <c r="F265" s="14"/>
      <c r="G265" s="14"/>
      <c r="H265" s="14"/>
      <c r="I265" s="14"/>
      <c r="J265" s="14"/>
      <c r="K265" s="15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38"/>
      <c r="F266" s="14"/>
      <c r="G266" s="14"/>
      <c r="H266" s="14"/>
      <c r="I266" s="14"/>
      <c r="J266" s="14"/>
      <c r="K266" s="15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38"/>
      <c r="F267" s="14"/>
      <c r="G267" s="14"/>
      <c r="H267" s="14"/>
      <c r="I267" s="14"/>
      <c r="J267" s="14"/>
      <c r="K267" s="15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38"/>
      <c r="F268" s="14"/>
      <c r="G268" s="14"/>
      <c r="H268" s="14"/>
      <c r="I268" s="14"/>
      <c r="J268" s="14"/>
      <c r="K268" s="15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38"/>
      <c r="F269" s="14"/>
      <c r="G269" s="14"/>
      <c r="H269" s="14"/>
      <c r="I269" s="14"/>
      <c r="J269" s="14"/>
      <c r="K269" s="15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38"/>
      <c r="F270" s="14"/>
      <c r="G270" s="14"/>
      <c r="H270" s="14"/>
      <c r="I270" s="14"/>
      <c r="J270" s="14"/>
      <c r="K270" s="15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38"/>
      <c r="F271" s="14"/>
      <c r="G271" s="14"/>
      <c r="H271" s="14"/>
      <c r="I271" s="14"/>
      <c r="J271" s="14"/>
      <c r="K271" s="15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38"/>
      <c r="F272" s="14"/>
      <c r="G272" s="14"/>
      <c r="H272" s="14"/>
      <c r="I272" s="14"/>
      <c r="J272" s="14"/>
      <c r="K272" s="15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38"/>
      <c r="F273" s="14"/>
      <c r="G273" s="14"/>
      <c r="H273" s="14"/>
      <c r="I273" s="14"/>
      <c r="J273" s="14"/>
      <c r="K273" s="15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38"/>
      <c r="F274" s="14"/>
      <c r="G274" s="14"/>
      <c r="H274" s="14"/>
      <c r="I274" s="14"/>
      <c r="J274" s="14"/>
      <c r="K274" s="15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38"/>
      <c r="F275" s="14"/>
      <c r="G275" s="14"/>
      <c r="H275" s="14"/>
      <c r="I275" s="14"/>
      <c r="J275" s="14"/>
      <c r="K275" s="15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38"/>
      <c r="F276" s="14"/>
      <c r="G276" s="14"/>
      <c r="H276" s="14"/>
      <c r="I276" s="14"/>
      <c r="J276" s="14"/>
      <c r="K276" s="15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38"/>
      <c r="F277" s="14"/>
      <c r="G277" s="14"/>
      <c r="H277" s="14"/>
      <c r="I277" s="14"/>
      <c r="J277" s="14"/>
      <c r="K277" s="15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38"/>
      <c r="F278" s="14"/>
      <c r="G278" s="14"/>
      <c r="H278" s="14"/>
      <c r="I278" s="14"/>
      <c r="J278" s="14"/>
      <c r="K278" s="15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38"/>
      <c r="F279" s="14"/>
      <c r="G279" s="14"/>
      <c r="H279" s="14"/>
      <c r="I279" s="14"/>
      <c r="J279" s="14"/>
      <c r="K279" s="15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38"/>
      <c r="F280" s="14"/>
      <c r="G280" s="14"/>
      <c r="H280" s="14"/>
      <c r="I280" s="14"/>
      <c r="J280" s="14"/>
      <c r="K280" s="15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38"/>
      <c r="F281" s="14"/>
      <c r="G281" s="14"/>
      <c r="H281" s="14"/>
      <c r="I281" s="14"/>
      <c r="J281" s="14"/>
      <c r="K281" s="15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38"/>
      <c r="F282" s="14"/>
      <c r="G282" s="14"/>
      <c r="H282" s="14"/>
      <c r="I282" s="14"/>
      <c r="J282" s="14"/>
      <c r="K282" s="15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38"/>
      <c r="F283" s="14"/>
      <c r="G283" s="14"/>
      <c r="H283" s="14"/>
      <c r="I283" s="14"/>
      <c r="J283" s="14"/>
      <c r="K283" s="15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38"/>
      <c r="F284" s="14"/>
      <c r="G284" s="14"/>
      <c r="H284" s="14"/>
      <c r="I284" s="14"/>
      <c r="J284" s="14"/>
      <c r="K284" s="15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38"/>
      <c r="F285" s="14"/>
      <c r="G285" s="14"/>
      <c r="H285" s="14"/>
      <c r="I285" s="14"/>
      <c r="J285" s="14"/>
      <c r="K285" s="15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38"/>
      <c r="F286" s="14"/>
      <c r="G286" s="14"/>
      <c r="H286" s="14"/>
      <c r="I286" s="14"/>
      <c r="J286" s="14"/>
      <c r="K286" s="15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38"/>
      <c r="F287" s="14"/>
      <c r="G287" s="14"/>
      <c r="H287" s="14"/>
      <c r="I287" s="14"/>
      <c r="J287" s="14"/>
      <c r="K287" s="15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38"/>
      <c r="F288" s="14"/>
      <c r="G288" s="14"/>
      <c r="H288" s="14"/>
      <c r="I288" s="14"/>
      <c r="J288" s="14"/>
      <c r="K288" s="15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38"/>
      <c r="F289" s="14"/>
      <c r="G289" s="14"/>
      <c r="H289" s="14"/>
      <c r="I289" s="14"/>
      <c r="J289" s="14"/>
      <c r="K289" s="15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38"/>
      <c r="F290" s="14"/>
      <c r="G290" s="14"/>
      <c r="H290" s="14"/>
      <c r="I290" s="14"/>
      <c r="J290" s="14"/>
      <c r="K290" s="15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38"/>
      <c r="F291" s="14"/>
      <c r="G291" s="14"/>
      <c r="H291" s="14"/>
      <c r="I291" s="14"/>
      <c r="J291" s="14"/>
      <c r="K291" s="15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38"/>
      <c r="F292" s="14"/>
      <c r="G292" s="14"/>
      <c r="H292" s="14"/>
      <c r="I292" s="14"/>
      <c r="J292" s="14"/>
      <c r="K292" s="15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38"/>
      <c r="F293" s="14"/>
      <c r="G293" s="14"/>
      <c r="H293" s="14"/>
      <c r="I293" s="14"/>
      <c r="J293" s="14"/>
      <c r="K293" s="15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38"/>
      <c r="F294" s="14"/>
      <c r="G294" s="14"/>
      <c r="H294" s="14"/>
      <c r="I294" s="14"/>
      <c r="J294" s="14"/>
      <c r="K294" s="15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38"/>
      <c r="F295" s="14"/>
      <c r="G295" s="14"/>
      <c r="H295" s="14"/>
      <c r="I295" s="14"/>
      <c r="J295" s="14"/>
      <c r="K295" s="15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38"/>
      <c r="F296" s="14"/>
      <c r="G296" s="14"/>
      <c r="H296" s="14"/>
      <c r="I296" s="14"/>
      <c r="J296" s="14"/>
      <c r="K296" s="15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38"/>
      <c r="F297" s="14"/>
      <c r="G297" s="14"/>
      <c r="H297" s="14"/>
      <c r="I297" s="14"/>
      <c r="J297" s="14"/>
      <c r="K297" s="15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38"/>
      <c r="F298" s="14"/>
      <c r="G298" s="14"/>
      <c r="H298" s="14"/>
      <c r="I298" s="14"/>
      <c r="J298" s="14"/>
      <c r="K298" s="15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38"/>
      <c r="F299" s="14"/>
      <c r="G299" s="14"/>
      <c r="H299" s="14"/>
      <c r="I299" s="14"/>
      <c r="J299" s="14"/>
      <c r="K299" s="15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38"/>
      <c r="F300" s="14"/>
      <c r="G300" s="14"/>
      <c r="H300" s="14"/>
      <c r="I300" s="14"/>
      <c r="J300" s="14"/>
      <c r="K300" s="15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38"/>
      <c r="F301" s="14"/>
      <c r="G301" s="14"/>
      <c r="H301" s="14"/>
      <c r="I301" s="14"/>
      <c r="J301" s="14"/>
      <c r="K301" s="15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38"/>
      <c r="F302" s="14"/>
      <c r="G302" s="14"/>
      <c r="H302" s="14"/>
      <c r="I302" s="14"/>
      <c r="J302" s="14"/>
      <c r="K302" s="15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38"/>
      <c r="F303" s="14"/>
      <c r="G303" s="14"/>
      <c r="H303" s="14"/>
      <c r="I303" s="14"/>
      <c r="J303" s="14"/>
      <c r="K303" s="15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38"/>
      <c r="F304" s="14"/>
      <c r="G304" s="14"/>
      <c r="H304" s="14"/>
      <c r="I304" s="14"/>
      <c r="J304" s="14"/>
      <c r="K304" s="15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38"/>
      <c r="F305" s="14"/>
      <c r="G305" s="14"/>
      <c r="H305" s="14"/>
      <c r="I305" s="14"/>
      <c r="J305" s="14"/>
      <c r="K305" s="15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38"/>
      <c r="F306" s="14"/>
      <c r="G306" s="14"/>
      <c r="H306" s="14"/>
      <c r="I306" s="14"/>
      <c r="J306" s="14"/>
      <c r="K306" s="15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38"/>
      <c r="F307" s="14"/>
      <c r="G307" s="14"/>
      <c r="H307" s="14"/>
      <c r="I307" s="14"/>
      <c r="J307" s="14"/>
      <c r="K307" s="15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38"/>
      <c r="F308" s="14"/>
      <c r="G308" s="14"/>
      <c r="H308" s="14"/>
      <c r="I308" s="14"/>
      <c r="J308" s="14"/>
      <c r="K308" s="15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38"/>
      <c r="F309" s="14"/>
      <c r="G309" s="14"/>
      <c r="H309" s="14"/>
      <c r="I309" s="14"/>
      <c r="J309" s="14"/>
      <c r="K309" s="15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38"/>
      <c r="F310" s="14"/>
      <c r="G310" s="14"/>
      <c r="H310" s="14"/>
      <c r="I310" s="14"/>
      <c r="J310" s="14"/>
      <c r="K310" s="15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38"/>
      <c r="F311" s="14"/>
      <c r="G311" s="14"/>
      <c r="H311" s="14"/>
      <c r="I311" s="14"/>
      <c r="J311" s="14"/>
      <c r="K311" s="15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38"/>
      <c r="F312" s="14"/>
      <c r="G312" s="14"/>
      <c r="H312" s="14"/>
      <c r="I312" s="14"/>
      <c r="J312" s="14"/>
      <c r="K312" s="15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38"/>
      <c r="F313" s="14"/>
      <c r="G313" s="14"/>
      <c r="H313" s="14"/>
      <c r="I313" s="14"/>
      <c r="J313" s="14"/>
      <c r="K313" s="15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38"/>
      <c r="F314" s="14"/>
      <c r="G314" s="14"/>
      <c r="H314" s="14"/>
      <c r="I314" s="14"/>
      <c r="J314" s="14"/>
      <c r="K314" s="15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38"/>
      <c r="F315" s="14"/>
      <c r="G315" s="14"/>
      <c r="H315" s="14"/>
      <c r="I315" s="14"/>
      <c r="J315" s="14"/>
      <c r="K315" s="15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38"/>
      <c r="F316" s="14"/>
      <c r="G316" s="14"/>
      <c r="H316" s="14"/>
      <c r="I316" s="14"/>
      <c r="J316" s="14"/>
      <c r="K316" s="15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38"/>
      <c r="F317" s="14"/>
      <c r="G317" s="14"/>
      <c r="H317" s="14"/>
      <c r="I317" s="14"/>
      <c r="J317" s="14"/>
      <c r="K317" s="15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38"/>
      <c r="F318" s="14"/>
      <c r="G318" s="14"/>
      <c r="H318" s="14"/>
      <c r="I318" s="14"/>
      <c r="J318" s="14"/>
      <c r="K318" s="15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38"/>
      <c r="F319" s="14"/>
      <c r="G319" s="14"/>
      <c r="H319" s="14"/>
      <c r="I319" s="14"/>
      <c r="J319" s="14"/>
      <c r="K319" s="15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38"/>
      <c r="F320" s="14"/>
      <c r="G320" s="14"/>
      <c r="H320" s="14"/>
      <c r="I320" s="14"/>
      <c r="J320" s="14"/>
      <c r="K320" s="15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38"/>
      <c r="F321" s="14"/>
      <c r="G321" s="14"/>
      <c r="H321" s="14"/>
      <c r="I321" s="14"/>
      <c r="J321" s="14"/>
      <c r="K321" s="15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38"/>
      <c r="F322" s="14"/>
      <c r="G322" s="14"/>
      <c r="H322" s="14"/>
      <c r="I322" s="14"/>
      <c r="J322" s="14"/>
      <c r="K322" s="15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38"/>
      <c r="F323" s="14"/>
      <c r="G323" s="14"/>
      <c r="H323" s="14"/>
      <c r="I323" s="14"/>
      <c r="J323" s="14"/>
      <c r="K323" s="15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38"/>
      <c r="F324" s="14"/>
      <c r="G324" s="14"/>
      <c r="H324" s="14"/>
      <c r="I324" s="14"/>
      <c r="J324" s="14"/>
      <c r="K324" s="15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38"/>
      <c r="F325" s="14"/>
      <c r="G325" s="14"/>
      <c r="H325" s="14"/>
      <c r="I325" s="14"/>
      <c r="J325" s="14"/>
      <c r="K325" s="15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38"/>
      <c r="F326" s="14"/>
      <c r="G326" s="14"/>
      <c r="H326" s="14"/>
      <c r="I326" s="14"/>
      <c r="J326" s="14"/>
      <c r="K326" s="15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38"/>
      <c r="F327" s="14"/>
      <c r="G327" s="14"/>
      <c r="H327" s="14"/>
      <c r="I327" s="14"/>
      <c r="J327" s="14"/>
      <c r="K327" s="15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38"/>
      <c r="F328" s="14"/>
      <c r="G328" s="14"/>
      <c r="H328" s="14"/>
      <c r="I328" s="14"/>
      <c r="J328" s="14"/>
      <c r="K328" s="15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38"/>
      <c r="F329" s="14"/>
      <c r="G329" s="14"/>
      <c r="H329" s="14"/>
      <c r="I329" s="14"/>
      <c r="J329" s="14"/>
      <c r="K329" s="15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38"/>
      <c r="F330" s="14"/>
      <c r="G330" s="14"/>
      <c r="H330" s="14"/>
      <c r="I330" s="14"/>
      <c r="J330" s="14"/>
      <c r="K330" s="15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38"/>
      <c r="F331" s="14"/>
      <c r="G331" s="14"/>
      <c r="H331" s="14"/>
      <c r="I331" s="14"/>
      <c r="J331" s="14"/>
      <c r="K331" s="15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38"/>
      <c r="F332" s="14"/>
      <c r="G332" s="14"/>
      <c r="H332" s="14"/>
      <c r="I332" s="14"/>
      <c r="J332" s="14"/>
      <c r="K332" s="15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38"/>
      <c r="F333" s="14"/>
      <c r="G333" s="14"/>
      <c r="H333" s="14"/>
      <c r="I333" s="14"/>
      <c r="J333" s="14"/>
      <c r="K333" s="15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38"/>
      <c r="F334" s="14"/>
      <c r="G334" s="14"/>
      <c r="H334" s="14"/>
      <c r="I334" s="14"/>
      <c r="J334" s="14"/>
      <c r="K334" s="15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38"/>
      <c r="F335" s="14"/>
      <c r="G335" s="14"/>
      <c r="H335" s="14"/>
      <c r="I335" s="14"/>
      <c r="J335" s="14"/>
      <c r="K335" s="15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38"/>
      <c r="F336" s="14"/>
      <c r="G336" s="14"/>
      <c r="H336" s="14"/>
      <c r="I336" s="14"/>
      <c r="J336" s="14"/>
      <c r="K336" s="15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38"/>
      <c r="F337" s="14"/>
      <c r="G337" s="14"/>
      <c r="H337" s="14"/>
      <c r="I337" s="14"/>
      <c r="J337" s="14"/>
      <c r="K337" s="15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38"/>
      <c r="F338" s="14"/>
      <c r="G338" s="14"/>
      <c r="H338" s="14"/>
      <c r="I338" s="14"/>
      <c r="J338" s="14"/>
      <c r="K338" s="15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38"/>
      <c r="F339" s="14"/>
      <c r="G339" s="14"/>
      <c r="H339" s="14"/>
      <c r="I339" s="14"/>
      <c r="J339" s="14"/>
      <c r="K339" s="15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38"/>
      <c r="F340" s="14"/>
      <c r="G340" s="14"/>
      <c r="H340" s="14"/>
      <c r="I340" s="14"/>
      <c r="J340" s="14"/>
      <c r="K340" s="15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38"/>
      <c r="F341" s="14"/>
      <c r="G341" s="14"/>
      <c r="H341" s="14"/>
      <c r="I341" s="14"/>
      <c r="J341" s="14"/>
      <c r="K341" s="15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38"/>
      <c r="F342" s="14"/>
      <c r="G342" s="14"/>
      <c r="H342" s="14"/>
      <c r="I342" s="14"/>
      <c r="J342" s="14"/>
      <c r="K342" s="15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38"/>
      <c r="F343" s="14"/>
      <c r="G343" s="14"/>
      <c r="H343" s="14"/>
      <c r="I343" s="14"/>
      <c r="J343" s="14"/>
      <c r="K343" s="15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38"/>
      <c r="F344" s="14"/>
      <c r="G344" s="14"/>
      <c r="H344" s="14"/>
      <c r="I344" s="14"/>
      <c r="J344" s="14"/>
      <c r="K344" s="15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38"/>
      <c r="F345" s="14"/>
      <c r="G345" s="14"/>
      <c r="H345" s="14"/>
      <c r="I345" s="14"/>
      <c r="J345" s="14"/>
      <c r="K345" s="15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38"/>
      <c r="F346" s="14"/>
      <c r="G346" s="14"/>
      <c r="H346" s="14"/>
      <c r="I346" s="14"/>
      <c r="J346" s="14"/>
      <c r="K346" s="15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38"/>
      <c r="F347" s="14"/>
      <c r="G347" s="14"/>
      <c r="H347" s="14"/>
      <c r="I347" s="14"/>
      <c r="J347" s="14"/>
      <c r="K347" s="15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38"/>
      <c r="F348" s="14"/>
      <c r="G348" s="14"/>
      <c r="H348" s="14"/>
      <c r="I348" s="14"/>
      <c r="J348" s="14"/>
      <c r="K348" s="15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38"/>
      <c r="F349" s="14"/>
      <c r="G349" s="14"/>
      <c r="H349" s="14"/>
      <c r="I349" s="14"/>
      <c r="J349" s="14"/>
      <c r="K349" s="15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38"/>
      <c r="F350" s="14"/>
      <c r="G350" s="14"/>
      <c r="H350" s="14"/>
      <c r="I350" s="14"/>
      <c r="J350" s="14"/>
      <c r="K350" s="15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38"/>
      <c r="F351" s="14"/>
      <c r="G351" s="14"/>
      <c r="H351" s="14"/>
      <c r="I351" s="14"/>
      <c r="J351" s="14"/>
      <c r="K351" s="15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38"/>
      <c r="F352" s="14"/>
      <c r="G352" s="14"/>
      <c r="H352" s="14"/>
      <c r="I352" s="14"/>
      <c r="J352" s="14"/>
      <c r="K352" s="15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38"/>
      <c r="F353" s="14"/>
      <c r="G353" s="14"/>
      <c r="H353" s="14"/>
      <c r="I353" s="14"/>
      <c r="J353" s="14"/>
      <c r="K353" s="15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38"/>
      <c r="F354" s="14"/>
      <c r="G354" s="14"/>
      <c r="H354" s="14"/>
      <c r="I354" s="14"/>
      <c r="J354" s="14"/>
      <c r="K354" s="15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38"/>
      <c r="F355" s="14"/>
      <c r="G355" s="14"/>
      <c r="H355" s="14"/>
      <c r="I355" s="14"/>
      <c r="J355" s="14"/>
      <c r="K355" s="15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38"/>
      <c r="F356" s="14"/>
      <c r="G356" s="14"/>
      <c r="H356" s="14"/>
      <c r="I356" s="14"/>
      <c r="J356" s="14"/>
      <c r="K356" s="15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38"/>
      <c r="F357" s="14"/>
      <c r="G357" s="14"/>
      <c r="H357" s="14"/>
      <c r="I357" s="14"/>
      <c r="J357" s="14"/>
      <c r="K357" s="15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38"/>
      <c r="F358" s="14"/>
      <c r="G358" s="14"/>
      <c r="H358" s="14"/>
      <c r="I358" s="14"/>
      <c r="J358" s="14"/>
      <c r="K358" s="15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38"/>
      <c r="F359" s="14"/>
      <c r="G359" s="14"/>
      <c r="H359" s="14"/>
      <c r="I359" s="14"/>
      <c r="J359" s="14"/>
      <c r="K359" s="15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38"/>
      <c r="F360" s="14"/>
      <c r="G360" s="14"/>
      <c r="H360" s="14"/>
      <c r="I360" s="14"/>
      <c r="J360" s="14"/>
      <c r="K360" s="15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38"/>
      <c r="F361" s="14"/>
      <c r="G361" s="14"/>
      <c r="H361" s="14"/>
      <c r="I361" s="14"/>
      <c r="J361" s="14"/>
      <c r="K361" s="15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38"/>
      <c r="F362" s="14"/>
      <c r="G362" s="14"/>
      <c r="H362" s="14"/>
      <c r="I362" s="14"/>
      <c r="J362" s="14"/>
      <c r="K362" s="15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38"/>
      <c r="F363" s="14"/>
      <c r="G363" s="14"/>
      <c r="H363" s="14"/>
      <c r="I363" s="14"/>
      <c r="J363" s="14"/>
      <c r="K363" s="15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38"/>
      <c r="F364" s="14"/>
      <c r="G364" s="14"/>
      <c r="H364" s="14"/>
      <c r="I364" s="14"/>
      <c r="J364" s="14"/>
      <c r="K364" s="15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38"/>
      <c r="F365" s="14"/>
      <c r="G365" s="14"/>
      <c r="H365" s="14"/>
      <c r="I365" s="14"/>
      <c r="J365" s="14"/>
      <c r="K365" s="15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38"/>
      <c r="F366" s="14"/>
      <c r="G366" s="14"/>
      <c r="H366" s="14"/>
      <c r="I366" s="14"/>
      <c r="J366" s="14"/>
      <c r="K366" s="15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38"/>
      <c r="F367" s="14"/>
      <c r="G367" s="14"/>
      <c r="H367" s="14"/>
      <c r="I367" s="14"/>
      <c r="J367" s="14"/>
      <c r="K367" s="15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38"/>
      <c r="F368" s="14"/>
      <c r="G368" s="14"/>
      <c r="H368" s="14"/>
      <c r="I368" s="14"/>
      <c r="J368" s="14"/>
      <c r="K368" s="15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38"/>
      <c r="F369" s="14"/>
      <c r="G369" s="14"/>
      <c r="H369" s="14"/>
      <c r="I369" s="14"/>
      <c r="J369" s="14"/>
      <c r="K369" s="15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38"/>
      <c r="F370" s="14"/>
      <c r="G370" s="14"/>
      <c r="H370" s="14"/>
      <c r="I370" s="14"/>
      <c r="J370" s="14"/>
      <c r="K370" s="15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38"/>
      <c r="F371" s="14"/>
      <c r="G371" s="14"/>
      <c r="H371" s="14"/>
      <c r="I371" s="14"/>
      <c r="J371" s="14"/>
      <c r="K371" s="15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38"/>
      <c r="F372" s="14"/>
      <c r="G372" s="14"/>
      <c r="H372" s="14"/>
      <c r="I372" s="14"/>
      <c r="J372" s="14"/>
      <c r="K372" s="15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38"/>
      <c r="F373" s="14"/>
      <c r="G373" s="14"/>
      <c r="H373" s="14"/>
      <c r="I373" s="14"/>
      <c r="J373" s="14"/>
      <c r="K373" s="15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38"/>
      <c r="F374" s="14"/>
      <c r="G374" s="14"/>
      <c r="H374" s="14"/>
      <c r="I374" s="14"/>
      <c r="J374" s="14"/>
      <c r="K374" s="15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38"/>
      <c r="F375" s="14"/>
      <c r="G375" s="14"/>
      <c r="H375" s="14"/>
      <c r="I375" s="14"/>
      <c r="J375" s="14"/>
      <c r="K375" s="15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38"/>
      <c r="F376" s="14"/>
      <c r="G376" s="14"/>
      <c r="H376" s="14"/>
      <c r="I376" s="14"/>
      <c r="J376" s="14"/>
      <c r="K376" s="15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38"/>
      <c r="F377" s="14"/>
      <c r="G377" s="14"/>
      <c r="H377" s="14"/>
      <c r="I377" s="14"/>
      <c r="J377" s="14"/>
      <c r="K377" s="15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38"/>
      <c r="F378" s="14"/>
      <c r="G378" s="14"/>
      <c r="H378" s="14"/>
      <c r="I378" s="14"/>
      <c r="J378" s="14"/>
      <c r="K378" s="15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38"/>
      <c r="F379" s="14"/>
      <c r="G379" s="14"/>
      <c r="H379" s="14"/>
      <c r="I379" s="14"/>
      <c r="J379" s="14"/>
      <c r="K379" s="15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38"/>
      <c r="F380" s="14"/>
      <c r="G380" s="14"/>
      <c r="H380" s="14"/>
      <c r="I380" s="14"/>
      <c r="J380" s="14"/>
      <c r="K380" s="15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38"/>
      <c r="F381" s="14"/>
      <c r="G381" s="14"/>
      <c r="H381" s="14"/>
      <c r="I381" s="14"/>
      <c r="J381" s="14"/>
      <c r="K381" s="15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38"/>
      <c r="F382" s="14"/>
      <c r="G382" s="14"/>
      <c r="H382" s="14"/>
      <c r="I382" s="14"/>
      <c r="J382" s="14"/>
      <c r="K382" s="15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38"/>
      <c r="F383" s="14"/>
      <c r="G383" s="14"/>
      <c r="H383" s="14"/>
      <c r="I383" s="14"/>
      <c r="J383" s="14"/>
      <c r="K383" s="15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38"/>
      <c r="F384" s="14"/>
      <c r="G384" s="14"/>
      <c r="H384" s="14"/>
      <c r="I384" s="14"/>
      <c r="J384" s="14"/>
      <c r="K384" s="15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38"/>
      <c r="F385" s="14"/>
      <c r="G385" s="14"/>
      <c r="H385" s="14"/>
      <c r="I385" s="14"/>
      <c r="J385" s="14"/>
      <c r="K385" s="15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38"/>
      <c r="F386" s="14"/>
      <c r="G386" s="14"/>
      <c r="H386" s="14"/>
      <c r="I386" s="14"/>
      <c r="J386" s="14"/>
      <c r="K386" s="15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38"/>
      <c r="F387" s="14"/>
      <c r="G387" s="14"/>
      <c r="H387" s="14"/>
      <c r="I387" s="14"/>
      <c r="J387" s="14"/>
      <c r="K387" s="15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38"/>
      <c r="F388" s="14"/>
      <c r="G388" s="14"/>
      <c r="H388" s="14"/>
      <c r="I388" s="14"/>
      <c r="J388" s="14"/>
      <c r="K388" s="15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38"/>
      <c r="F389" s="14"/>
      <c r="G389" s="14"/>
      <c r="H389" s="14"/>
      <c r="I389" s="14"/>
      <c r="J389" s="14"/>
      <c r="K389" s="15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38"/>
      <c r="F390" s="14"/>
      <c r="G390" s="14"/>
      <c r="H390" s="14"/>
      <c r="I390" s="14"/>
      <c r="J390" s="14"/>
      <c r="K390" s="15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38"/>
      <c r="F391" s="14"/>
      <c r="G391" s="14"/>
      <c r="H391" s="14"/>
      <c r="I391" s="14"/>
      <c r="J391" s="14"/>
      <c r="K391" s="15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38"/>
      <c r="F392" s="14"/>
      <c r="G392" s="14"/>
      <c r="H392" s="14"/>
      <c r="I392" s="14"/>
      <c r="J392" s="14"/>
      <c r="K392" s="15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38"/>
      <c r="F393" s="14"/>
      <c r="G393" s="14"/>
      <c r="H393" s="14"/>
      <c r="I393" s="14"/>
      <c r="J393" s="14"/>
      <c r="K393" s="15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38"/>
      <c r="F394" s="14"/>
      <c r="G394" s="14"/>
      <c r="H394" s="14"/>
      <c r="I394" s="14"/>
      <c r="J394" s="14"/>
      <c r="K394" s="15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38"/>
      <c r="F395" s="14"/>
      <c r="G395" s="14"/>
      <c r="H395" s="14"/>
      <c r="I395" s="14"/>
      <c r="J395" s="14"/>
      <c r="K395" s="15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38"/>
      <c r="F396" s="14"/>
      <c r="G396" s="14"/>
      <c r="H396" s="14"/>
      <c r="I396" s="14"/>
      <c r="J396" s="14"/>
      <c r="K396" s="15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38"/>
      <c r="F397" s="14"/>
      <c r="G397" s="14"/>
      <c r="H397" s="14"/>
      <c r="I397" s="14"/>
      <c r="J397" s="14"/>
      <c r="K397" s="15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38"/>
      <c r="F398" s="14"/>
      <c r="G398" s="14"/>
      <c r="H398" s="14"/>
      <c r="I398" s="14"/>
      <c r="J398" s="14"/>
      <c r="K398" s="15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38"/>
      <c r="F399" s="14"/>
      <c r="G399" s="14"/>
      <c r="H399" s="14"/>
      <c r="I399" s="14"/>
      <c r="J399" s="14"/>
      <c r="K399" s="15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38"/>
      <c r="F400" s="14"/>
      <c r="G400" s="14"/>
      <c r="H400" s="14"/>
      <c r="I400" s="14"/>
      <c r="J400" s="14"/>
      <c r="K400" s="15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38"/>
      <c r="F401" s="14"/>
      <c r="G401" s="14"/>
      <c r="H401" s="14"/>
      <c r="I401" s="14"/>
      <c r="J401" s="14"/>
      <c r="K401" s="15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38"/>
      <c r="F402" s="14"/>
      <c r="G402" s="14"/>
      <c r="H402" s="14"/>
      <c r="I402" s="14"/>
      <c r="J402" s="14"/>
      <c r="K402" s="15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38"/>
      <c r="F403" s="14"/>
      <c r="G403" s="14"/>
      <c r="H403" s="14"/>
      <c r="I403" s="14"/>
      <c r="J403" s="14"/>
      <c r="K403" s="15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38"/>
      <c r="F404" s="14"/>
      <c r="G404" s="14"/>
      <c r="H404" s="14"/>
      <c r="I404" s="14"/>
      <c r="J404" s="14"/>
      <c r="K404" s="15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38"/>
      <c r="F405" s="14"/>
      <c r="G405" s="14"/>
      <c r="H405" s="14"/>
      <c r="I405" s="14"/>
      <c r="J405" s="14"/>
      <c r="K405" s="15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38"/>
      <c r="F406" s="14"/>
      <c r="G406" s="14"/>
      <c r="H406" s="14"/>
      <c r="I406" s="14"/>
      <c r="J406" s="14"/>
      <c r="K406" s="15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38"/>
      <c r="F407" s="14"/>
      <c r="G407" s="14"/>
      <c r="H407" s="14"/>
      <c r="I407" s="14"/>
      <c r="J407" s="14"/>
      <c r="K407" s="15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38"/>
      <c r="F408" s="14"/>
      <c r="G408" s="14"/>
      <c r="H408" s="14"/>
      <c r="I408" s="14"/>
      <c r="J408" s="14"/>
      <c r="K408" s="15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38"/>
      <c r="F409" s="14"/>
      <c r="G409" s="14"/>
      <c r="H409" s="14"/>
      <c r="I409" s="14"/>
      <c r="J409" s="14"/>
      <c r="K409" s="15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38"/>
      <c r="F410" s="14"/>
      <c r="G410" s="14"/>
      <c r="H410" s="14"/>
      <c r="I410" s="14"/>
      <c r="J410" s="14"/>
      <c r="K410" s="15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38"/>
      <c r="F411" s="14"/>
      <c r="G411" s="14"/>
      <c r="H411" s="14"/>
      <c r="I411" s="14"/>
      <c r="J411" s="14"/>
      <c r="K411" s="15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38"/>
      <c r="F412" s="14"/>
      <c r="G412" s="14"/>
      <c r="H412" s="14"/>
      <c r="I412" s="14"/>
      <c r="J412" s="14"/>
      <c r="K412" s="15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38"/>
      <c r="F413" s="14"/>
      <c r="G413" s="14"/>
      <c r="H413" s="14"/>
      <c r="I413" s="14"/>
      <c r="J413" s="14"/>
      <c r="K413" s="15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38"/>
      <c r="F414" s="14"/>
      <c r="G414" s="14"/>
      <c r="H414" s="14"/>
      <c r="I414" s="14"/>
      <c r="J414" s="14"/>
      <c r="K414" s="15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38"/>
      <c r="F415" s="14"/>
      <c r="G415" s="14"/>
      <c r="H415" s="14"/>
      <c r="I415" s="14"/>
      <c r="J415" s="14"/>
      <c r="K415" s="15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38"/>
      <c r="F416" s="14"/>
      <c r="G416" s="14"/>
      <c r="H416" s="14"/>
      <c r="I416" s="14"/>
      <c r="J416" s="14"/>
      <c r="K416" s="15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38"/>
      <c r="F417" s="14"/>
      <c r="G417" s="14"/>
      <c r="H417" s="14"/>
      <c r="I417" s="14"/>
      <c r="J417" s="14"/>
      <c r="K417" s="15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38"/>
      <c r="F418" s="14"/>
      <c r="G418" s="14"/>
      <c r="H418" s="14"/>
      <c r="I418" s="14"/>
      <c r="J418" s="14"/>
      <c r="K418" s="15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38"/>
      <c r="F419" s="14"/>
      <c r="G419" s="14"/>
      <c r="H419" s="14"/>
      <c r="I419" s="14"/>
      <c r="J419" s="14"/>
      <c r="K419" s="15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38"/>
      <c r="F420" s="14"/>
      <c r="G420" s="14"/>
      <c r="H420" s="14"/>
      <c r="I420" s="14"/>
      <c r="J420" s="14"/>
      <c r="K420" s="15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38"/>
      <c r="F421" s="14"/>
      <c r="G421" s="14"/>
      <c r="H421" s="14"/>
      <c r="I421" s="14"/>
      <c r="J421" s="14"/>
      <c r="K421" s="15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38"/>
      <c r="F422" s="14"/>
      <c r="G422" s="14"/>
      <c r="H422" s="14"/>
      <c r="I422" s="14"/>
      <c r="J422" s="14"/>
      <c r="K422" s="15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38"/>
      <c r="F423" s="14"/>
      <c r="G423" s="14"/>
      <c r="H423" s="14"/>
      <c r="I423" s="14"/>
      <c r="J423" s="14"/>
      <c r="K423" s="15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38"/>
      <c r="F424" s="14"/>
      <c r="G424" s="14"/>
      <c r="H424" s="14"/>
      <c r="I424" s="14"/>
      <c r="J424" s="14"/>
      <c r="K424" s="15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38"/>
      <c r="F425" s="14"/>
      <c r="G425" s="14"/>
      <c r="H425" s="14"/>
      <c r="I425" s="14"/>
      <c r="J425" s="14"/>
      <c r="K425" s="15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38"/>
      <c r="F426" s="14"/>
      <c r="G426" s="14"/>
      <c r="H426" s="14"/>
      <c r="I426" s="14"/>
      <c r="J426" s="14"/>
      <c r="K426" s="15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38"/>
      <c r="F427" s="14"/>
      <c r="G427" s="14"/>
      <c r="H427" s="14"/>
      <c r="I427" s="14"/>
      <c r="J427" s="14"/>
      <c r="K427" s="15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38"/>
      <c r="F428" s="14"/>
      <c r="G428" s="14"/>
      <c r="H428" s="14"/>
      <c r="I428" s="14"/>
      <c r="J428" s="14"/>
      <c r="K428" s="15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38"/>
      <c r="F429" s="14"/>
      <c r="G429" s="14"/>
      <c r="H429" s="14"/>
      <c r="I429" s="14"/>
      <c r="J429" s="14"/>
      <c r="K429" s="15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38"/>
      <c r="F430" s="14"/>
      <c r="G430" s="14"/>
      <c r="H430" s="14"/>
      <c r="I430" s="14"/>
      <c r="J430" s="14"/>
      <c r="K430" s="15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38"/>
      <c r="F431" s="14"/>
      <c r="G431" s="14"/>
      <c r="H431" s="14"/>
      <c r="I431" s="14"/>
      <c r="J431" s="14"/>
      <c r="K431" s="15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38"/>
      <c r="F432" s="14"/>
      <c r="G432" s="14"/>
      <c r="H432" s="14"/>
      <c r="I432" s="14"/>
      <c r="J432" s="14"/>
      <c r="K432" s="15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38"/>
      <c r="F433" s="14"/>
      <c r="G433" s="14"/>
      <c r="H433" s="14"/>
      <c r="I433" s="14"/>
      <c r="J433" s="14"/>
      <c r="K433" s="15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38"/>
      <c r="F434" s="14"/>
      <c r="G434" s="14"/>
      <c r="H434" s="14"/>
      <c r="I434" s="14"/>
      <c r="J434" s="14"/>
      <c r="K434" s="15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38"/>
      <c r="F435" s="14"/>
      <c r="G435" s="14"/>
      <c r="H435" s="14"/>
      <c r="I435" s="14"/>
      <c r="J435" s="14"/>
      <c r="K435" s="15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38"/>
      <c r="F436" s="14"/>
      <c r="G436" s="14"/>
      <c r="H436" s="14"/>
      <c r="I436" s="14"/>
      <c r="J436" s="14"/>
      <c r="K436" s="15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38"/>
      <c r="F437" s="14"/>
      <c r="G437" s="14"/>
      <c r="H437" s="14"/>
      <c r="I437" s="14"/>
      <c r="J437" s="14"/>
      <c r="K437" s="15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38"/>
      <c r="F438" s="14"/>
      <c r="G438" s="14"/>
      <c r="H438" s="14"/>
      <c r="I438" s="14"/>
      <c r="J438" s="14"/>
      <c r="K438" s="15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38"/>
      <c r="F439" s="14"/>
      <c r="G439" s="14"/>
      <c r="H439" s="14"/>
      <c r="I439" s="14"/>
      <c r="J439" s="14"/>
      <c r="K439" s="15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38"/>
      <c r="F440" s="14"/>
      <c r="G440" s="14"/>
      <c r="H440" s="14"/>
      <c r="I440" s="14"/>
      <c r="J440" s="14"/>
      <c r="K440" s="15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38"/>
      <c r="F441" s="14"/>
      <c r="G441" s="14"/>
      <c r="H441" s="14"/>
      <c r="I441" s="14"/>
      <c r="J441" s="14"/>
      <c r="K441" s="15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38"/>
      <c r="F442" s="14"/>
      <c r="G442" s="14"/>
      <c r="H442" s="14"/>
      <c r="I442" s="14"/>
      <c r="J442" s="14"/>
      <c r="K442" s="15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38"/>
      <c r="F443" s="14"/>
      <c r="G443" s="14"/>
      <c r="H443" s="14"/>
      <c r="I443" s="14"/>
      <c r="J443" s="14"/>
      <c r="K443" s="15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38"/>
      <c r="F444" s="14"/>
      <c r="G444" s="14"/>
      <c r="H444" s="14"/>
      <c r="I444" s="14"/>
      <c r="J444" s="14"/>
      <c r="K444" s="15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38"/>
      <c r="F445" s="14"/>
      <c r="G445" s="14"/>
      <c r="H445" s="14"/>
      <c r="I445" s="14"/>
      <c r="J445" s="14"/>
      <c r="K445" s="15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38"/>
      <c r="F446" s="14"/>
      <c r="G446" s="14"/>
      <c r="H446" s="14"/>
      <c r="I446" s="14"/>
      <c r="J446" s="14"/>
      <c r="K446" s="15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38"/>
      <c r="F447" s="14"/>
      <c r="G447" s="14"/>
      <c r="H447" s="14"/>
      <c r="I447" s="14"/>
      <c r="J447" s="14"/>
      <c r="K447" s="15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38"/>
      <c r="F448" s="14"/>
      <c r="G448" s="14"/>
      <c r="H448" s="14"/>
      <c r="I448" s="14"/>
      <c r="J448" s="14"/>
      <c r="K448" s="15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38"/>
      <c r="F449" s="14"/>
      <c r="G449" s="14"/>
      <c r="H449" s="14"/>
      <c r="I449" s="14"/>
      <c r="J449" s="14"/>
      <c r="K449" s="15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38"/>
      <c r="F450" s="14"/>
      <c r="G450" s="14"/>
      <c r="H450" s="14"/>
      <c r="I450" s="14"/>
      <c r="J450" s="14"/>
      <c r="K450" s="15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38"/>
      <c r="F451" s="14"/>
      <c r="G451" s="14"/>
      <c r="H451" s="14"/>
      <c r="I451" s="14"/>
      <c r="J451" s="14"/>
      <c r="K451" s="15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38"/>
      <c r="F452" s="14"/>
      <c r="G452" s="14"/>
      <c r="H452" s="14"/>
      <c r="I452" s="14"/>
      <c r="J452" s="14"/>
      <c r="K452" s="15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38"/>
      <c r="F453" s="14"/>
      <c r="G453" s="14"/>
      <c r="H453" s="14"/>
      <c r="I453" s="14"/>
      <c r="J453" s="14"/>
      <c r="K453" s="15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38"/>
      <c r="F454" s="14"/>
      <c r="G454" s="14"/>
      <c r="H454" s="14"/>
      <c r="I454" s="14"/>
      <c r="J454" s="14"/>
      <c r="K454" s="15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38"/>
      <c r="F455" s="14"/>
      <c r="G455" s="14"/>
      <c r="H455" s="14"/>
      <c r="I455" s="14"/>
      <c r="J455" s="14"/>
      <c r="K455" s="15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38"/>
      <c r="F456" s="14"/>
      <c r="G456" s="14"/>
      <c r="H456" s="14"/>
      <c r="I456" s="14"/>
      <c r="J456" s="14"/>
      <c r="K456" s="15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38"/>
      <c r="F457" s="14"/>
      <c r="G457" s="14"/>
      <c r="H457" s="14"/>
      <c r="I457" s="14"/>
      <c r="J457" s="14"/>
      <c r="K457" s="15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38"/>
      <c r="F458" s="14"/>
      <c r="G458" s="14"/>
      <c r="H458" s="14"/>
      <c r="I458" s="14"/>
      <c r="J458" s="14"/>
      <c r="K458" s="15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38"/>
      <c r="F459" s="14"/>
      <c r="G459" s="14"/>
      <c r="H459" s="14"/>
      <c r="I459" s="14"/>
      <c r="J459" s="14"/>
      <c r="K459" s="15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38"/>
      <c r="F460" s="14"/>
      <c r="G460" s="14"/>
      <c r="H460" s="14"/>
      <c r="I460" s="14"/>
      <c r="J460" s="14"/>
      <c r="K460" s="15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38"/>
      <c r="F461" s="14"/>
      <c r="G461" s="14"/>
      <c r="H461" s="14"/>
      <c r="I461" s="14"/>
      <c r="J461" s="14"/>
      <c r="K461" s="15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38"/>
      <c r="F462" s="14"/>
      <c r="G462" s="14"/>
      <c r="H462" s="14"/>
      <c r="I462" s="14"/>
      <c r="J462" s="14"/>
      <c r="K462" s="15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38"/>
      <c r="F463" s="14"/>
      <c r="G463" s="14"/>
      <c r="H463" s="14"/>
      <c r="I463" s="14"/>
      <c r="J463" s="14"/>
      <c r="K463" s="15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38"/>
      <c r="F464" s="14"/>
      <c r="G464" s="14"/>
      <c r="H464" s="14"/>
      <c r="I464" s="14"/>
      <c r="J464" s="14"/>
      <c r="K464" s="15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38"/>
      <c r="F465" s="14"/>
      <c r="G465" s="14"/>
      <c r="H465" s="14"/>
      <c r="I465" s="14"/>
      <c r="J465" s="14"/>
      <c r="K465" s="15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38"/>
      <c r="F466" s="14"/>
      <c r="G466" s="14"/>
      <c r="H466" s="14"/>
      <c r="I466" s="14"/>
      <c r="J466" s="14"/>
      <c r="K466" s="15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38"/>
      <c r="F467" s="14"/>
      <c r="G467" s="14"/>
      <c r="H467" s="14"/>
      <c r="I467" s="14"/>
      <c r="J467" s="14"/>
      <c r="K467" s="15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38"/>
      <c r="F468" s="14"/>
      <c r="G468" s="14"/>
      <c r="H468" s="14"/>
      <c r="I468" s="14"/>
      <c r="J468" s="14"/>
      <c r="K468" s="15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38"/>
      <c r="F469" s="14"/>
      <c r="G469" s="14"/>
      <c r="H469" s="14"/>
      <c r="I469" s="14"/>
      <c r="J469" s="14"/>
      <c r="K469" s="15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38"/>
      <c r="F470" s="14"/>
      <c r="G470" s="14"/>
      <c r="H470" s="14"/>
      <c r="I470" s="14"/>
      <c r="J470" s="14"/>
      <c r="K470" s="15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38"/>
      <c r="F471" s="14"/>
      <c r="G471" s="14"/>
      <c r="H471" s="14"/>
      <c r="I471" s="14"/>
      <c r="J471" s="14"/>
      <c r="K471" s="15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38"/>
      <c r="F472" s="14"/>
      <c r="G472" s="14"/>
      <c r="H472" s="14"/>
      <c r="I472" s="14"/>
      <c r="J472" s="14"/>
      <c r="K472" s="15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38"/>
      <c r="F473" s="14"/>
      <c r="G473" s="14"/>
      <c r="H473" s="14"/>
      <c r="I473" s="14"/>
      <c r="J473" s="14"/>
      <c r="K473" s="15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38"/>
      <c r="F474" s="14"/>
      <c r="G474" s="14"/>
      <c r="H474" s="14"/>
      <c r="I474" s="14"/>
      <c r="J474" s="14"/>
      <c r="K474" s="15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38"/>
      <c r="F475" s="14"/>
      <c r="G475" s="14"/>
      <c r="H475" s="14"/>
      <c r="I475" s="14"/>
      <c r="J475" s="14"/>
      <c r="K475" s="15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38"/>
      <c r="F476" s="14"/>
      <c r="G476" s="14"/>
      <c r="H476" s="14"/>
      <c r="I476" s="14"/>
      <c r="J476" s="14"/>
      <c r="K476" s="15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38"/>
      <c r="F477" s="14"/>
      <c r="G477" s="14"/>
      <c r="H477" s="14"/>
      <c r="I477" s="14"/>
      <c r="J477" s="14"/>
      <c r="K477" s="15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38"/>
      <c r="F478" s="14"/>
      <c r="G478" s="14"/>
      <c r="H478" s="14"/>
      <c r="I478" s="14"/>
      <c r="J478" s="14"/>
      <c r="K478" s="15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38"/>
      <c r="F479" s="14"/>
      <c r="G479" s="14"/>
      <c r="H479" s="14"/>
      <c r="I479" s="14"/>
      <c r="J479" s="14"/>
      <c r="K479" s="15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38"/>
      <c r="F480" s="14"/>
      <c r="G480" s="14"/>
      <c r="H480" s="14"/>
      <c r="I480" s="14"/>
      <c r="J480" s="14"/>
      <c r="K480" s="15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38"/>
      <c r="F481" s="14"/>
      <c r="G481" s="14"/>
      <c r="H481" s="14"/>
      <c r="I481" s="14"/>
      <c r="J481" s="14"/>
      <c r="K481" s="15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38"/>
      <c r="F482" s="14"/>
      <c r="G482" s="14"/>
      <c r="H482" s="14"/>
      <c r="I482" s="14"/>
      <c r="J482" s="14"/>
      <c r="K482" s="15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38"/>
      <c r="F483" s="14"/>
      <c r="G483" s="14"/>
      <c r="H483" s="14"/>
      <c r="I483" s="14"/>
      <c r="J483" s="14"/>
      <c r="K483" s="15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38"/>
      <c r="F484" s="14"/>
      <c r="G484" s="14"/>
      <c r="H484" s="14"/>
      <c r="I484" s="14"/>
      <c r="J484" s="14"/>
      <c r="K484" s="15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38"/>
      <c r="F485" s="14"/>
      <c r="G485" s="14"/>
      <c r="H485" s="14"/>
      <c r="I485" s="14"/>
      <c r="J485" s="14"/>
      <c r="K485" s="15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38"/>
      <c r="F486" s="14"/>
      <c r="G486" s="14"/>
      <c r="H486" s="14"/>
      <c r="I486" s="14"/>
      <c r="J486" s="14"/>
      <c r="K486" s="15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38"/>
      <c r="F487" s="14"/>
      <c r="G487" s="14"/>
      <c r="H487" s="14"/>
      <c r="I487" s="14"/>
      <c r="J487" s="14"/>
      <c r="K487" s="15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38"/>
      <c r="F488" s="14"/>
      <c r="G488" s="14"/>
      <c r="H488" s="14"/>
      <c r="I488" s="14"/>
      <c r="J488" s="14"/>
      <c r="K488" s="15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38"/>
      <c r="F489" s="14"/>
      <c r="G489" s="14"/>
      <c r="H489" s="14"/>
      <c r="I489" s="14"/>
      <c r="J489" s="14"/>
      <c r="K489" s="15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38"/>
      <c r="F490" s="14"/>
      <c r="G490" s="14"/>
      <c r="H490" s="14"/>
      <c r="I490" s="14"/>
      <c r="J490" s="14"/>
      <c r="K490" s="15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38"/>
      <c r="F491" s="14"/>
      <c r="G491" s="14"/>
      <c r="H491" s="14"/>
      <c r="I491" s="14"/>
      <c r="J491" s="14"/>
      <c r="K491" s="15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38"/>
      <c r="F492" s="14"/>
      <c r="G492" s="14"/>
      <c r="H492" s="14"/>
      <c r="I492" s="14"/>
      <c r="J492" s="14"/>
      <c r="K492" s="15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38"/>
      <c r="F493" s="14"/>
      <c r="G493" s="14"/>
      <c r="H493" s="14"/>
      <c r="I493" s="14"/>
      <c r="J493" s="14"/>
      <c r="K493" s="15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38"/>
      <c r="F494" s="14"/>
      <c r="G494" s="14"/>
      <c r="H494" s="14"/>
      <c r="I494" s="14"/>
      <c r="J494" s="14"/>
      <c r="K494" s="15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38"/>
      <c r="F495" s="14"/>
      <c r="G495" s="14"/>
      <c r="H495" s="14"/>
      <c r="I495" s="14"/>
      <c r="J495" s="14"/>
      <c r="K495" s="15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38"/>
      <c r="F496" s="14"/>
      <c r="G496" s="14"/>
      <c r="H496" s="14"/>
      <c r="I496" s="14"/>
      <c r="J496" s="14"/>
      <c r="K496" s="15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38"/>
      <c r="F497" s="14"/>
      <c r="G497" s="14"/>
      <c r="H497" s="14"/>
      <c r="I497" s="14"/>
      <c r="J497" s="14"/>
      <c r="K497" s="15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38"/>
      <c r="F498" s="14"/>
      <c r="G498" s="14"/>
      <c r="H498" s="14"/>
      <c r="I498" s="14"/>
      <c r="J498" s="14"/>
      <c r="K498" s="15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38"/>
      <c r="F499" s="14"/>
      <c r="G499" s="14"/>
      <c r="H499" s="14"/>
      <c r="I499" s="14"/>
      <c r="J499" s="14"/>
      <c r="K499" s="15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38"/>
      <c r="F500" s="14"/>
      <c r="G500" s="14"/>
      <c r="H500" s="14"/>
      <c r="I500" s="14"/>
      <c r="J500" s="14"/>
      <c r="K500" s="15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38"/>
      <c r="F501" s="14"/>
      <c r="G501" s="14"/>
      <c r="H501" s="14"/>
      <c r="I501" s="14"/>
      <c r="J501" s="14"/>
      <c r="K501" s="15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38"/>
      <c r="F502" s="14"/>
      <c r="G502" s="14"/>
      <c r="H502" s="14"/>
      <c r="I502" s="14"/>
      <c r="J502" s="14"/>
      <c r="K502" s="15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38"/>
      <c r="F503" s="14"/>
      <c r="G503" s="14"/>
      <c r="H503" s="14"/>
      <c r="I503" s="14"/>
      <c r="J503" s="14"/>
      <c r="K503" s="15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38"/>
      <c r="F504" s="14"/>
      <c r="G504" s="14"/>
      <c r="H504" s="14"/>
      <c r="I504" s="14"/>
      <c r="J504" s="14"/>
      <c r="K504" s="15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38"/>
      <c r="F505" s="14"/>
      <c r="G505" s="14"/>
      <c r="H505" s="14"/>
      <c r="I505" s="14"/>
      <c r="J505" s="14"/>
      <c r="K505" s="15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38"/>
      <c r="F506" s="14"/>
      <c r="G506" s="14"/>
      <c r="H506" s="14"/>
      <c r="I506" s="14"/>
      <c r="J506" s="14"/>
      <c r="K506" s="15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38"/>
      <c r="F507" s="14"/>
      <c r="G507" s="14"/>
      <c r="H507" s="14"/>
      <c r="I507" s="14"/>
      <c r="J507" s="14"/>
      <c r="K507" s="15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38"/>
      <c r="F508" s="14"/>
      <c r="G508" s="14"/>
      <c r="H508" s="14"/>
      <c r="I508" s="14"/>
      <c r="J508" s="14"/>
      <c r="K508" s="15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38"/>
      <c r="F509" s="14"/>
      <c r="G509" s="14"/>
      <c r="H509" s="14"/>
      <c r="I509" s="14"/>
      <c r="J509" s="14"/>
      <c r="K509" s="15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38"/>
      <c r="F510" s="14"/>
      <c r="G510" s="14"/>
      <c r="H510" s="14"/>
      <c r="I510" s="14"/>
      <c r="J510" s="14"/>
      <c r="K510" s="15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38"/>
      <c r="F511" s="14"/>
      <c r="G511" s="14"/>
      <c r="H511" s="14"/>
      <c r="I511" s="14"/>
      <c r="J511" s="14"/>
      <c r="K511" s="15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38"/>
      <c r="F512" s="14"/>
      <c r="G512" s="14"/>
      <c r="H512" s="14"/>
      <c r="I512" s="14"/>
      <c r="J512" s="14"/>
      <c r="K512" s="15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38"/>
      <c r="F513" s="14"/>
      <c r="G513" s="14"/>
      <c r="H513" s="14"/>
      <c r="I513" s="14"/>
      <c r="J513" s="14"/>
      <c r="K513" s="15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38"/>
      <c r="F514" s="14"/>
      <c r="G514" s="14"/>
      <c r="H514" s="14"/>
      <c r="I514" s="14"/>
      <c r="J514" s="14"/>
      <c r="K514" s="15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38"/>
      <c r="F515" s="14"/>
      <c r="G515" s="14"/>
      <c r="H515" s="14"/>
      <c r="I515" s="14"/>
      <c r="J515" s="14"/>
      <c r="K515" s="15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38"/>
      <c r="F516" s="14"/>
      <c r="G516" s="14"/>
      <c r="H516" s="14"/>
      <c r="I516" s="14"/>
      <c r="J516" s="14"/>
      <c r="K516" s="15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38"/>
      <c r="F517" s="14"/>
      <c r="G517" s="14"/>
      <c r="H517" s="14"/>
      <c r="I517" s="14"/>
      <c r="J517" s="14"/>
      <c r="K517" s="15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38"/>
      <c r="F518" s="14"/>
      <c r="G518" s="14"/>
      <c r="H518" s="14"/>
      <c r="I518" s="14"/>
      <c r="J518" s="14"/>
      <c r="K518" s="15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38"/>
      <c r="F519" s="14"/>
      <c r="G519" s="14"/>
      <c r="H519" s="14"/>
      <c r="I519" s="14"/>
      <c r="J519" s="14"/>
      <c r="K519" s="15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38"/>
      <c r="F520" s="14"/>
      <c r="G520" s="14"/>
      <c r="H520" s="14"/>
      <c r="I520" s="14"/>
      <c r="J520" s="14"/>
      <c r="K520" s="15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38"/>
      <c r="F521" s="14"/>
      <c r="G521" s="14"/>
      <c r="H521" s="14"/>
      <c r="I521" s="14"/>
      <c r="J521" s="14"/>
      <c r="K521" s="15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38"/>
      <c r="F522" s="14"/>
      <c r="G522" s="14"/>
      <c r="H522" s="14"/>
      <c r="I522" s="14"/>
      <c r="J522" s="14"/>
      <c r="K522" s="15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38"/>
      <c r="F523" s="14"/>
      <c r="G523" s="14"/>
      <c r="H523" s="14"/>
      <c r="I523" s="14"/>
      <c r="J523" s="14"/>
      <c r="K523" s="15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38"/>
      <c r="F524" s="14"/>
      <c r="G524" s="14"/>
      <c r="H524" s="14"/>
      <c r="I524" s="14"/>
      <c r="J524" s="14"/>
      <c r="K524" s="15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38"/>
      <c r="F525" s="14"/>
      <c r="G525" s="14"/>
      <c r="H525" s="14"/>
      <c r="I525" s="14"/>
      <c r="J525" s="14"/>
      <c r="K525" s="15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38"/>
      <c r="F526" s="14"/>
      <c r="G526" s="14"/>
      <c r="H526" s="14"/>
      <c r="I526" s="14"/>
      <c r="J526" s="14"/>
      <c r="K526" s="15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38"/>
      <c r="F527" s="14"/>
      <c r="G527" s="14"/>
      <c r="H527" s="14"/>
      <c r="I527" s="14"/>
      <c r="J527" s="14"/>
      <c r="K527" s="15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38"/>
      <c r="F528" s="14"/>
      <c r="G528" s="14"/>
      <c r="H528" s="14"/>
      <c r="I528" s="14"/>
      <c r="J528" s="14"/>
      <c r="K528" s="15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38"/>
      <c r="F529" s="14"/>
      <c r="G529" s="14"/>
      <c r="H529" s="14"/>
      <c r="I529" s="14"/>
      <c r="J529" s="14"/>
      <c r="K529" s="15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38"/>
      <c r="F530" s="14"/>
      <c r="G530" s="14"/>
      <c r="H530" s="14"/>
      <c r="I530" s="14"/>
      <c r="J530" s="14"/>
      <c r="K530" s="15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38"/>
      <c r="F531" s="14"/>
      <c r="G531" s="14"/>
      <c r="H531" s="14"/>
      <c r="I531" s="14"/>
      <c r="J531" s="14"/>
      <c r="K531" s="15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38"/>
      <c r="F532" s="14"/>
      <c r="G532" s="14"/>
      <c r="H532" s="14"/>
      <c r="I532" s="14"/>
      <c r="J532" s="14"/>
      <c r="K532" s="15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38"/>
      <c r="F533" s="14"/>
      <c r="G533" s="14"/>
      <c r="H533" s="14"/>
      <c r="I533" s="14"/>
      <c r="J533" s="14"/>
      <c r="K533" s="15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38"/>
      <c r="F534" s="14"/>
      <c r="G534" s="14"/>
      <c r="H534" s="14"/>
      <c r="I534" s="14"/>
      <c r="J534" s="14"/>
      <c r="K534" s="15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38"/>
      <c r="F535" s="14"/>
      <c r="G535" s="14"/>
      <c r="H535" s="14"/>
      <c r="I535" s="14"/>
      <c r="J535" s="14"/>
      <c r="K535" s="15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38"/>
      <c r="F536" s="14"/>
      <c r="G536" s="14"/>
      <c r="H536" s="14"/>
      <c r="I536" s="14"/>
      <c r="J536" s="14"/>
      <c r="K536" s="15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38"/>
      <c r="F537" s="14"/>
      <c r="G537" s="14"/>
      <c r="H537" s="14"/>
      <c r="I537" s="14"/>
      <c r="J537" s="14"/>
      <c r="K537" s="15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38"/>
      <c r="F538" s="14"/>
      <c r="G538" s="14"/>
      <c r="H538" s="14"/>
      <c r="I538" s="14"/>
      <c r="J538" s="14"/>
      <c r="K538" s="15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38"/>
      <c r="F539" s="14"/>
      <c r="G539" s="14"/>
      <c r="H539" s="14"/>
      <c r="I539" s="14"/>
      <c r="J539" s="14"/>
      <c r="K539" s="15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38"/>
      <c r="F540" s="14"/>
      <c r="G540" s="14"/>
      <c r="H540" s="14"/>
      <c r="I540" s="14"/>
      <c r="J540" s="14"/>
      <c r="K540" s="15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38"/>
      <c r="F541" s="14"/>
      <c r="G541" s="14"/>
      <c r="H541" s="14"/>
      <c r="I541" s="14"/>
      <c r="J541" s="14"/>
      <c r="K541" s="15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38"/>
      <c r="F542" s="14"/>
      <c r="G542" s="14"/>
      <c r="H542" s="14"/>
      <c r="I542" s="14"/>
      <c r="J542" s="14"/>
      <c r="K542" s="15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38"/>
      <c r="F543" s="14"/>
      <c r="G543" s="14"/>
      <c r="H543" s="14"/>
      <c r="I543" s="14"/>
      <c r="J543" s="14"/>
      <c r="K543" s="15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38"/>
      <c r="F544" s="14"/>
      <c r="G544" s="14"/>
      <c r="H544" s="14"/>
      <c r="I544" s="14"/>
      <c r="J544" s="14"/>
      <c r="K544" s="15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38"/>
      <c r="F545" s="14"/>
      <c r="G545" s="14"/>
      <c r="H545" s="14"/>
      <c r="I545" s="14"/>
      <c r="J545" s="14"/>
      <c r="K545" s="15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38"/>
      <c r="F546" s="14"/>
      <c r="G546" s="14"/>
      <c r="H546" s="14"/>
      <c r="I546" s="14"/>
      <c r="J546" s="14"/>
      <c r="K546" s="15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38"/>
      <c r="F547" s="14"/>
      <c r="G547" s="14"/>
      <c r="H547" s="14"/>
      <c r="I547" s="14"/>
      <c r="J547" s="14"/>
      <c r="K547" s="15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38"/>
      <c r="F548" s="14"/>
      <c r="G548" s="14"/>
      <c r="H548" s="14"/>
      <c r="I548" s="14"/>
      <c r="J548" s="14"/>
      <c r="K548" s="15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38"/>
      <c r="F549" s="14"/>
      <c r="G549" s="14"/>
      <c r="H549" s="14"/>
      <c r="I549" s="14"/>
      <c r="J549" s="14"/>
      <c r="K549" s="15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38"/>
      <c r="F550" s="14"/>
      <c r="G550" s="14"/>
      <c r="H550" s="14"/>
      <c r="I550" s="14"/>
      <c r="J550" s="14"/>
      <c r="K550" s="15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38"/>
      <c r="F551" s="14"/>
      <c r="G551" s="14"/>
      <c r="H551" s="14"/>
      <c r="I551" s="14"/>
      <c r="J551" s="14"/>
      <c r="K551" s="15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38"/>
      <c r="F552" s="14"/>
      <c r="G552" s="14"/>
      <c r="H552" s="14"/>
      <c r="I552" s="14"/>
      <c r="J552" s="14"/>
      <c r="K552" s="15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38"/>
      <c r="F553" s="14"/>
      <c r="G553" s="14"/>
      <c r="H553" s="14"/>
      <c r="I553" s="14"/>
      <c r="J553" s="14"/>
      <c r="K553" s="15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38"/>
      <c r="F554" s="14"/>
      <c r="G554" s="14"/>
      <c r="H554" s="14"/>
      <c r="I554" s="14"/>
      <c r="J554" s="14"/>
      <c r="K554" s="15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38"/>
      <c r="F555" s="14"/>
      <c r="G555" s="14"/>
      <c r="H555" s="14"/>
      <c r="I555" s="14"/>
      <c r="J555" s="14"/>
      <c r="K555" s="15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38"/>
      <c r="F556" s="14"/>
      <c r="G556" s="14"/>
      <c r="H556" s="14"/>
      <c r="I556" s="14"/>
      <c r="J556" s="14"/>
      <c r="K556" s="15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38"/>
      <c r="F557" s="14"/>
      <c r="G557" s="14"/>
      <c r="H557" s="14"/>
      <c r="I557" s="14"/>
      <c r="J557" s="14"/>
      <c r="K557" s="15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38"/>
      <c r="F558" s="14"/>
      <c r="G558" s="14"/>
      <c r="H558" s="14"/>
      <c r="I558" s="14"/>
      <c r="J558" s="14"/>
      <c r="K558" s="15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38"/>
      <c r="F559" s="14"/>
      <c r="G559" s="14"/>
      <c r="H559" s="14"/>
      <c r="I559" s="14"/>
      <c r="J559" s="14"/>
      <c r="K559" s="15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38"/>
      <c r="F560" s="14"/>
      <c r="G560" s="14"/>
      <c r="H560" s="14"/>
      <c r="I560" s="14"/>
      <c r="J560" s="14"/>
      <c r="K560" s="15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38"/>
      <c r="F561" s="14"/>
      <c r="G561" s="14"/>
      <c r="H561" s="14"/>
      <c r="I561" s="14"/>
      <c r="J561" s="14"/>
      <c r="K561" s="15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38"/>
      <c r="F562" s="14"/>
      <c r="G562" s="14"/>
      <c r="H562" s="14"/>
      <c r="I562" s="14"/>
      <c r="J562" s="14"/>
      <c r="K562" s="15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38"/>
      <c r="F563" s="14"/>
      <c r="G563" s="14"/>
      <c r="H563" s="14"/>
      <c r="I563" s="14"/>
      <c r="J563" s="14"/>
      <c r="K563" s="15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38"/>
      <c r="F564" s="14"/>
      <c r="G564" s="14"/>
      <c r="H564" s="14"/>
      <c r="I564" s="14"/>
      <c r="J564" s="14"/>
      <c r="K564" s="15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38"/>
      <c r="F565" s="14"/>
      <c r="G565" s="14"/>
      <c r="H565" s="14"/>
      <c r="I565" s="14"/>
      <c r="J565" s="14"/>
      <c r="K565" s="15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38"/>
      <c r="F566" s="14"/>
      <c r="G566" s="14"/>
      <c r="H566" s="14"/>
      <c r="I566" s="14"/>
      <c r="J566" s="14"/>
      <c r="K566" s="15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38"/>
      <c r="F567" s="14"/>
      <c r="G567" s="14"/>
      <c r="H567" s="14"/>
      <c r="I567" s="14"/>
      <c r="J567" s="14"/>
      <c r="K567" s="15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38"/>
      <c r="F568" s="14"/>
      <c r="G568" s="14"/>
      <c r="H568" s="14"/>
      <c r="I568" s="14"/>
      <c r="J568" s="14"/>
      <c r="K568" s="15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38"/>
      <c r="F569" s="14"/>
      <c r="G569" s="14"/>
      <c r="H569" s="14"/>
      <c r="I569" s="14"/>
      <c r="J569" s="14"/>
      <c r="K569" s="15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38"/>
      <c r="F570" s="14"/>
      <c r="G570" s="14"/>
      <c r="H570" s="14"/>
      <c r="I570" s="14"/>
      <c r="J570" s="14"/>
      <c r="K570" s="15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38"/>
      <c r="F571" s="14"/>
      <c r="G571" s="14"/>
      <c r="H571" s="14"/>
      <c r="I571" s="14"/>
      <c r="J571" s="14"/>
      <c r="K571" s="15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38"/>
      <c r="F572" s="14"/>
      <c r="G572" s="14"/>
      <c r="H572" s="14"/>
      <c r="I572" s="14"/>
      <c r="J572" s="14"/>
      <c r="K572" s="15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38"/>
      <c r="F573" s="14"/>
      <c r="G573" s="14"/>
      <c r="H573" s="14"/>
      <c r="I573" s="14"/>
      <c r="J573" s="14"/>
      <c r="K573" s="15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38"/>
      <c r="F574" s="14"/>
      <c r="G574" s="14"/>
      <c r="H574" s="14"/>
      <c r="I574" s="14"/>
      <c r="J574" s="14"/>
      <c r="K574" s="15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38"/>
      <c r="F575" s="14"/>
      <c r="G575" s="14"/>
      <c r="H575" s="14"/>
      <c r="I575" s="14"/>
      <c r="J575" s="14"/>
      <c r="K575" s="15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38"/>
      <c r="F576" s="14"/>
      <c r="G576" s="14"/>
      <c r="H576" s="14"/>
      <c r="I576" s="14"/>
      <c r="J576" s="14"/>
      <c r="K576" s="15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38"/>
      <c r="F577" s="14"/>
      <c r="G577" s="14"/>
      <c r="H577" s="14"/>
      <c r="I577" s="14"/>
      <c r="J577" s="14"/>
      <c r="K577" s="15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38"/>
      <c r="F578" s="14"/>
      <c r="G578" s="14"/>
      <c r="H578" s="14"/>
      <c r="I578" s="14"/>
      <c r="J578" s="14"/>
      <c r="K578" s="15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38"/>
      <c r="F579" s="14"/>
      <c r="G579" s="14"/>
      <c r="H579" s="14"/>
      <c r="I579" s="14"/>
      <c r="J579" s="14"/>
      <c r="K579" s="15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38"/>
      <c r="F580" s="14"/>
      <c r="G580" s="14"/>
      <c r="H580" s="14"/>
      <c r="I580" s="14"/>
      <c r="J580" s="14"/>
      <c r="K580" s="15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38"/>
      <c r="F581" s="14"/>
      <c r="G581" s="14"/>
      <c r="H581" s="14"/>
      <c r="I581" s="14"/>
      <c r="J581" s="14"/>
      <c r="K581" s="15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38"/>
      <c r="F582" s="14"/>
      <c r="G582" s="14"/>
      <c r="H582" s="14"/>
      <c r="I582" s="14"/>
      <c r="J582" s="14"/>
      <c r="K582" s="15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38"/>
      <c r="F583" s="14"/>
      <c r="G583" s="14"/>
      <c r="H583" s="14"/>
      <c r="I583" s="14"/>
      <c r="J583" s="14"/>
      <c r="K583" s="15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38"/>
      <c r="F584" s="14"/>
      <c r="G584" s="14"/>
      <c r="H584" s="14"/>
      <c r="I584" s="14"/>
      <c r="J584" s="14"/>
      <c r="K584" s="15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38"/>
      <c r="F585" s="14"/>
      <c r="G585" s="14"/>
      <c r="H585" s="14"/>
      <c r="I585" s="14"/>
      <c r="J585" s="14"/>
      <c r="K585" s="15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38"/>
      <c r="F586" s="14"/>
      <c r="G586" s="14"/>
      <c r="H586" s="14"/>
      <c r="I586" s="14"/>
      <c r="J586" s="14"/>
      <c r="K586" s="15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38"/>
      <c r="F587" s="14"/>
      <c r="G587" s="14"/>
      <c r="H587" s="14"/>
      <c r="I587" s="14"/>
      <c r="J587" s="14"/>
      <c r="K587" s="15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38"/>
      <c r="F588" s="14"/>
      <c r="G588" s="14"/>
      <c r="H588" s="14"/>
      <c r="I588" s="14"/>
      <c r="J588" s="14"/>
      <c r="K588" s="15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38"/>
      <c r="F589" s="14"/>
      <c r="G589" s="14"/>
      <c r="H589" s="14"/>
      <c r="I589" s="14"/>
      <c r="J589" s="14"/>
      <c r="K589" s="15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38"/>
      <c r="F590" s="14"/>
      <c r="G590" s="14"/>
      <c r="H590" s="14"/>
      <c r="I590" s="14"/>
      <c r="J590" s="14"/>
      <c r="K590" s="15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38"/>
      <c r="F591" s="14"/>
      <c r="G591" s="14"/>
      <c r="H591" s="14"/>
      <c r="I591" s="14"/>
      <c r="J591" s="14"/>
      <c r="K591" s="15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38"/>
      <c r="F592" s="14"/>
      <c r="G592" s="14"/>
      <c r="H592" s="14"/>
      <c r="I592" s="14"/>
      <c r="J592" s="14"/>
      <c r="K592" s="15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38"/>
      <c r="F593" s="14"/>
      <c r="G593" s="14"/>
      <c r="H593" s="14"/>
      <c r="I593" s="14"/>
      <c r="J593" s="14"/>
      <c r="K593" s="15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38"/>
      <c r="F594" s="14"/>
      <c r="G594" s="14"/>
      <c r="H594" s="14"/>
      <c r="I594" s="14"/>
      <c r="J594" s="14"/>
      <c r="K594" s="15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38"/>
      <c r="F595" s="14"/>
      <c r="G595" s="14"/>
      <c r="H595" s="14"/>
      <c r="I595" s="14"/>
      <c r="J595" s="14"/>
      <c r="K595" s="15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38"/>
      <c r="F596" s="14"/>
      <c r="G596" s="14"/>
      <c r="H596" s="14"/>
      <c r="I596" s="14"/>
      <c r="J596" s="14"/>
      <c r="K596" s="15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38"/>
      <c r="F597" s="14"/>
      <c r="G597" s="14"/>
      <c r="H597" s="14"/>
      <c r="I597" s="14"/>
      <c r="J597" s="14"/>
      <c r="K597" s="15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38"/>
      <c r="F598" s="14"/>
      <c r="G598" s="14"/>
      <c r="H598" s="14"/>
      <c r="I598" s="14"/>
      <c r="J598" s="14"/>
      <c r="K598" s="15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38"/>
      <c r="F599" s="14"/>
      <c r="G599" s="14"/>
      <c r="H599" s="14"/>
      <c r="I599" s="14"/>
      <c r="J599" s="14"/>
      <c r="K599" s="15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38"/>
      <c r="F600" s="14"/>
      <c r="G600" s="14"/>
      <c r="H600" s="14"/>
      <c r="I600" s="14"/>
      <c r="J600" s="14"/>
      <c r="K600" s="15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38"/>
      <c r="F601" s="14"/>
      <c r="G601" s="14"/>
      <c r="H601" s="14"/>
      <c r="I601" s="14"/>
      <c r="J601" s="14"/>
      <c r="K601" s="15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38"/>
      <c r="F602" s="14"/>
      <c r="G602" s="14"/>
      <c r="H602" s="14"/>
      <c r="I602" s="14"/>
      <c r="J602" s="14"/>
      <c r="K602" s="15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38"/>
      <c r="F603" s="14"/>
      <c r="G603" s="14"/>
      <c r="H603" s="14"/>
      <c r="I603" s="14"/>
      <c r="J603" s="14"/>
      <c r="K603" s="15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38"/>
      <c r="F604" s="14"/>
      <c r="G604" s="14"/>
      <c r="H604" s="14"/>
      <c r="I604" s="14"/>
      <c r="J604" s="14"/>
      <c r="K604" s="15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38"/>
      <c r="F605" s="14"/>
      <c r="G605" s="14"/>
      <c r="H605" s="14"/>
      <c r="I605" s="14"/>
      <c r="J605" s="14"/>
      <c r="K605" s="15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38"/>
      <c r="F606" s="14"/>
      <c r="G606" s="14"/>
      <c r="H606" s="14"/>
      <c r="I606" s="14"/>
      <c r="J606" s="14"/>
      <c r="K606" s="15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38"/>
      <c r="F607" s="14"/>
      <c r="G607" s="14"/>
      <c r="H607" s="14"/>
      <c r="I607" s="14"/>
      <c r="J607" s="14"/>
      <c r="K607" s="15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38"/>
      <c r="F608" s="14"/>
      <c r="G608" s="14"/>
      <c r="H608" s="14"/>
      <c r="I608" s="14"/>
      <c r="J608" s="14"/>
      <c r="K608" s="15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38"/>
      <c r="F609" s="14"/>
      <c r="G609" s="14"/>
      <c r="H609" s="14"/>
      <c r="I609" s="14"/>
      <c r="J609" s="14"/>
      <c r="K609" s="15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38"/>
      <c r="F610" s="14"/>
      <c r="G610" s="14"/>
      <c r="H610" s="14"/>
      <c r="I610" s="14"/>
      <c r="J610" s="14"/>
      <c r="K610" s="15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38"/>
      <c r="F611" s="14"/>
      <c r="G611" s="14"/>
      <c r="H611" s="14"/>
      <c r="I611" s="14"/>
      <c r="J611" s="14"/>
      <c r="K611" s="15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38"/>
      <c r="F612" s="14"/>
      <c r="G612" s="14"/>
      <c r="H612" s="14"/>
      <c r="I612" s="14"/>
      <c r="J612" s="14"/>
      <c r="K612" s="15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38"/>
      <c r="F613" s="14"/>
      <c r="G613" s="14"/>
      <c r="H613" s="14"/>
      <c r="I613" s="14"/>
      <c r="J613" s="14"/>
      <c r="K613" s="15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38"/>
      <c r="F614" s="14"/>
      <c r="G614" s="14"/>
      <c r="H614" s="14"/>
      <c r="I614" s="14"/>
      <c r="J614" s="14"/>
      <c r="K614" s="15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38"/>
      <c r="F615" s="14"/>
      <c r="G615" s="14"/>
      <c r="H615" s="14"/>
      <c r="I615" s="14"/>
      <c r="J615" s="14"/>
      <c r="K615" s="15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38"/>
      <c r="F616" s="14"/>
      <c r="G616" s="14"/>
      <c r="H616" s="14"/>
      <c r="I616" s="14"/>
      <c r="J616" s="14"/>
      <c r="K616" s="15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38"/>
      <c r="F617" s="14"/>
      <c r="G617" s="14"/>
      <c r="H617" s="14"/>
      <c r="I617" s="14"/>
      <c r="J617" s="14"/>
      <c r="K617" s="15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38"/>
      <c r="F618" s="14"/>
      <c r="G618" s="14"/>
      <c r="H618" s="14"/>
      <c r="I618" s="14"/>
      <c r="J618" s="14"/>
      <c r="K618" s="15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38"/>
      <c r="F619" s="14"/>
      <c r="G619" s="14"/>
      <c r="H619" s="14"/>
      <c r="I619" s="14"/>
      <c r="J619" s="14"/>
      <c r="K619" s="15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38"/>
      <c r="F620" s="14"/>
      <c r="G620" s="14"/>
      <c r="H620" s="14"/>
      <c r="I620" s="14"/>
      <c r="J620" s="14"/>
      <c r="K620" s="15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38"/>
      <c r="F621" s="14"/>
      <c r="G621" s="14"/>
      <c r="H621" s="14"/>
      <c r="I621" s="14"/>
      <c r="J621" s="14"/>
      <c r="K621" s="15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38"/>
      <c r="F622" s="14"/>
      <c r="G622" s="14"/>
      <c r="H622" s="14"/>
      <c r="I622" s="14"/>
      <c r="J622" s="14"/>
      <c r="K622" s="15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38"/>
      <c r="F623" s="14"/>
      <c r="G623" s="14"/>
      <c r="H623" s="14"/>
      <c r="I623" s="14"/>
      <c r="J623" s="14"/>
      <c r="K623" s="15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38"/>
      <c r="F624" s="14"/>
      <c r="G624" s="14"/>
      <c r="H624" s="14"/>
      <c r="I624" s="14"/>
      <c r="J624" s="14"/>
      <c r="K624" s="15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38"/>
      <c r="F625" s="14"/>
      <c r="G625" s="14"/>
      <c r="H625" s="14"/>
      <c r="I625" s="14"/>
      <c r="J625" s="14"/>
      <c r="K625" s="15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38"/>
      <c r="F626" s="14"/>
      <c r="G626" s="14"/>
      <c r="H626" s="14"/>
      <c r="I626" s="14"/>
      <c r="J626" s="14"/>
      <c r="K626" s="15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38"/>
      <c r="F627" s="14"/>
      <c r="G627" s="14"/>
      <c r="H627" s="14"/>
      <c r="I627" s="14"/>
      <c r="J627" s="14"/>
      <c r="K627" s="15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38"/>
      <c r="F628" s="14"/>
      <c r="G628" s="14"/>
      <c r="H628" s="14"/>
      <c r="I628" s="14"/>
      <c r="J628" s="14"/>
      <c r="K628" s="15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38"/>
      <c r="F629" s="14"/>
      <c r="G629" s="14"/>
      <c r="H629" s="14"/>
      <c r="I629" s="14"/>
      <c r="J629" s="14"/>
      <c r="K629" s="15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38"/>
      <c r="F630" s="14"/>
      <c r="G630" s="14"/>
      <c r="H630" s="14"/>
      <c r="I630" s="14"/>
      <c r="J630" s="14"/>
      <c r="K630" s="15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38"/>
      <c r="F631" s="14"/>
      <c r="G631" s="14"/>
      <c r="H631" s="14"/>
      <c r="I631" s="14"/>
      <c r="J631" s="14"/>
      <c r="K631" s="15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38"/>
      <c r="F632" s="14"/>
      <c r="G632" s="14"/>
      <c r="H632" s="14"/>
      <c r="I632" s="14"/>
      <c r="J632" s="14"/>
      <c r="K632" s="15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38"/>
      <c r="F633" s="14"/>
      <c r="G633" s="14"/>
      <c r="H633" s="14"/>
      <c r="I633" s="14"/>
      <c r="J633" s="14"/>
      <c r="K633" s="15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38"/>
      <c r="F634" s="14"/>
      <c r="G634" s="14"/>
      <c r="H634" s="14"/>
      <c r="I634" s="14"/>
      <c r="J634" s="14"/>
      <c r="K634" s="15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38"/>
      <c r="F635" s="14"/>
      <c r="G635" s="14"/>
      <c r="H635" s="14"/>
      <c r="I635" s="14"/>
      <c r="J635" s="14"/>
      <c r="K635" s="15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38"/>
      <c r="F636" s="14"/>
      <c r="G636" s="14"/>
      <c r="H636" s="14"/>
      <c r="I636" s="14"/>
      <c r="J636" s="14"/>
      <c r="K636" s="15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38"/>
      <c r="F637" s="14"/>
      <c r="G637" s="14"/>
      <c r="H637" s="14"/>
      <c r="I637" s="14"/>
      <c r="J637" s="14"/>
      <c r="K637" s="15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38"/>
      <c r="F638" s="14"/>
      <c r="G638" s="14"/>
      <c r="H638" s="14"/>
      <c r="I638" s="14"/>
      <c r="J638" s="14"/>
      <c r="K638" s="15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38"/>
      <c r="F639" s="14"/>
      <c r="G639" s="14"/>
      <c r="H639" s="14"/>
      <c r="I639" s="14"/>
      <c r="J639" s="14"/>
      <c r="K639" s="15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38"/>
      <c r="F640" s="14"/>
      <c r="G640" s="14"/>
      <c r="H640" s="14"/>
      <c r="I640" s="14"/>
      <c r="J640" s="14"/>
      <c r="K640" s="15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38"/>
      <c r="F641" s="14"/>
      <c r="G641" s="14"/>
      <c r="H641" s="14"/>
      <c r="I641" s="14"/>
      <c r="J641" s="14"/>
      <c r="K641" s="15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38"/>
      <c r="F642" s="14"/>
      <c r="G642" s="14"/>
      <c r="H642" s="14"/>
      <c r="I642" s="14"/>
      <c r="J642" s="14"/>
      <c r="K642" s="15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38"/>
      <c r="F643" s="14"/>
      <c r="G643" s="14"/>
      <c r="H643" s="14"/>
      <c r="I643" s="14"/>
      <c r="J643" s="14"/>
      <c r="K643" s="15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38"/>
      <c r="F644" s="14"/>
      <c r="G644" s="14"/>
      <c r="H644" s="14"/>
      <c r="I644" s="14"/>
      <c r="J644" s="14"/>
      <c r="K644" s="15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38"/>
      <c r="F645" s="14"/>
      <c r="G645" s="14"/>
      <c r="H645" s="14"/>
      <c r="I645" s="14"/>
      <c r="J645" s="14"/>
      <c r="K645" s="15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38"/>
      <c r="F646" s="14"/>
      <c r="G646" s="14"/>
      <c r="H646" s="14"/>
      <c r="I646" s="14"/>
      <c r="J646" s="14"/>
      <c r="K646" s="15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38"/>
      <c r="F647" s="14"/>
      <c r="G647" s="14"/>
      <c r="H647" s="14"/>
      <c r="I647" s="14"/>
      <c r="J647" s="14"/>
      <c r="K647" s="15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38"/>
      <c r="F648" s="14"/>
      <c r="G648" s="14"/>
      <c r="H648" s="14"/>
      <c r="I648" s="14"/>
      <c r="J648" s="14"/>
      <c r="K648" s="15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38"/>
      <c r="F649" s="14"/>
      <c r="G649" s="14"/>
      <c r="H649" s="14"/>
      <c r="I649" s="14"/>
      <c r="J649" s="14"/>
      <c r="K649" s="15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38"/>
      <c r="F650" s="14"/>
      <c r="G650" s="14"/>
      <c r="H650" s="14"/>
      <c r="I650" s="14"/>
      <c r="J650" s="14"/>
      <c r="K650" s="15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38"/>
      <c r="F651" s="14"/>
      <c r="G651" s="14"/>
      <c r="H651" s="14"/>
      <c r="I651" s="14"/>
      <c r="J651" s="14"/>
      <c r="K651" s="15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38"/>
      <c r="F652" s="14"/>
      <c r="G652" s="14"/>
      <c r="H652" s="14"/>
      <c r="I652" s="14"/>
      <c r="J652" s="14"/>
      <c r="K652" s="15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38"/>
      <c r="F653" s="14"/>
      <c r="G653" s="14"/>
      <c r="H653" s="14"/>
      <c r="I653" s="14"/>
      <c r="J653" s="14"/>
      <c r="K653" s="15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38"/>
      <c r="F654" s="14"/>
      <c r="G654" s="14"/>
      <c r="H654" s="14"/>
      <c r="I654" s="14"/>
      <c r="J654" s="14"/>
      <c r="K654" s="15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38"/>
      <c r="F655" s="14"/>
      <c r="G655" s="14"/>
      <c r="H655" s="14"/>
      <c r="I655" s="14"/>
      <c r="J655" s="14"/>
      <c r="K655" s="15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38"/>
      <c r="F656" s="14"/>
      <c r="G656" s="14"/>
      <c r="H656" s="14"/>
      <c r="I656" s="14"/>
      <c r="J656" s="14"/>
      <c r="K656" s="15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38"/>
      <c r="F657" s="14"/>
      <c r="G657" s="14"/>
      <c r="H657" s="14"/>
      <c r="I657" s="14"/>
      <c r="J657" s="14"/>
      <c r="K657" s="15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38"/>
      <c r="F658" s="14"/>
      <c r="G658" s="14"/>
      <c r="H658" s="14"/>
      <c r="I658" s="14"/>
      <c r="J658" s="14"/>
      <c r="K658" s="15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38"/>
      <c r="F659" s="14"/>
      <c r="G659" s="14"/>
      <c r="H659" s="14"/>
      <c r="I659" s="14"/>
      <c r="J659" s="14"/>
      <c r="K659" s="15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38"/>
      <c r="F660" s="14"/>
      <c r="G660" s="14"/>
      <c r="H660" s="14"/>
      <c r="I660" s="14"/>
      <c r="J660" s="14"/>
      <c r="K660" s="15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38"/>
      <c r="F661" s="14"/>
      <c r="G661" s="14"/>
      <c r="H661" s="14"/>
      <c r="I661" s="14"/>
      <c r="J661" s="14"/>
      <c r="K661" s="15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38"/>
      <c r="F662" s="14"/>
      <c r="G662" s="14"/>
      <c r="H662" s="14"/>
      <c r="I662" s="14"/>
      <c r="J662" s="14"/>
      <c r="K662" s="15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38"/>
      <c r="F663" s="14"/>
      <c r="G663" s="14"/>
      <c r="H663" s="14"/>
      <c r="I663" s="14"/>
      <c r="J663" s="14"/>
      <c r="K663" s="15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38"/>
      <c r="F664" s="14"/>
      <c r="G664" s="14"/>
      <c r="H664" s="14"/>
      <c r="I664" s="14"/>
      <c r="J664" s="14"/>
      <c r="K664" s="15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38"/>
      <c r="F665" s="14"/>
      <c r="G665" s="14"/>
      <c r="H665" s="14"/>
      <c r="I665" s="14"/>
      <c r="J665" s="14"/>
      <c r="K665" s="15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38"/>
      <c r="F666" s="14"/>
      <c r="G666" s="14"/>
      <c r="H666" s="14"/>
      <c r="I666" s="14"/>
      <c r="J666" s="14"/>
      <c r="K666" s="15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38"/>
      <c r="F667" s="14"/>
      <c r="G667" s="14"/>
      <c r="H667" s="14"/>
      <c r="I667" s="14"/>
      <c r="J667" s="14"/>
      <c r="K667" s="15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38"/>
      <c r="F668" s="14"/>
      <c r="G668" s="14"/>
      <c r="H668" s="14"/>
      <c r="I668" s="14"/>
      <c r="J668" s="14"/>
      <c r="K668" s="15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38"/>
      <c r="F669" s="14"/>
      <c r="G669" s="14"/>
      <c r="H669" s="14"/>
      <c r="I669" s="14"/>
      <c r="J669" s="14"/>
      <c r="K669" s="15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38"/>
      <c r="F670" s="14"/>
      <c r="G670" s="14"/>
      <c r="H670" s="14"/>
      <c r="I670" s="14"/>
      <c r="J670" s="14"/>
      <c r="K670" s="15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38"/>
      <c r="F671" s="14"/>
      <c r="G671" s="14"/>
      <c r="H671" s="14"/>
      <c r="I671" s="14"/>
      <c r="J671" s="14"/>
      <c r="K671" s="15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38"/>
      <c r="F672" s="14"/>
      <c r="G672" s="14"/>
      <c r="H672" s="14"/>
      <c r="I672" s="14"/>
      <c r="J672" s="14"/>
      <c r="K672" s="15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38"/>
      <c r="F673" s="14"/>
      <c r="G673" s="14"/>
      <c r="H673" s="14"/>
      <c r="I673" s="14"/>
      <c r="J673" s="14"/>
      <c r="K673" s="15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38"/>
      <c r="F674" s="14"/>
      <c r="G674" s="14"/>
      <c r="H674" s="14"/>
      <c r="I674" s="14"/>
      <c r="J674" s="14"/>
      <c r="K674" s="15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38"/>
      <c r="F675" s="14"/>
      <c r="G675" s="14"/>
      <c r="H675" s="14"/>
      <c r="I675" s="14"/>
      <c r="J675" s="14"/>
      <c r="K675" s="15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38"/>
      <c r="F676" s="14"/>
      <c r="G676" s="14"/>
      <c r="H676" s="14"/>
      <c r="I676" s="14"/>
      <c r="J676" s="14"/>
      <c r="K676" s="15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38"/>
      <c r="F677" s="14"/>
      <c r="G677" s="14"/>
      <c r="H677" s="14"/>
      <c r="I677" s="14"/>
      <c r="J677" s="14"/>
      <c r="K677" s="15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38"/>
      <c r="F678" s="14"/>
      <c r="G678" s="14"/>
      <c r="H678" s="14"/>
      <c r="I678" s="14"/>
      <c r="J678" s="14"/>
      <c r="K678" s="15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38"/>
      <c r="F679" s="14"/>
      <c r="G679" s="14"/>
      <c r="H679" s="14"/>
      <c r="I679" s="14"/>
      <c r="J679" s="14"/>
      <c r="K679" s="15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38"/>
      <c r="F680" s="14"/>
      <c r="G680" s="14"/>
      <c r="H680" s="14"/>
      <c r="I680" s="14"/>
      <c r="J680" s="14"/>
      <c r="K680" s="15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38"/>
      <c r="F681" s="14"/>
      <c r="G681" s="14"/>
      <c r="H681" s="14"/>
      <c r="I681" s="14"/>
      <c r="J681" s="14"/>
      <c r="K681" s="15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38"/>
      <c r="F682" s="14"/>
      <c r="G682" s="14"/>
      <c r="H682" s="14"/>
      <c r="I682" s="14"/>
      <c r="J682" s="14"/>
      <c r="K682" s="15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38"/>
      <c r="F683" s="14"/>
      <c r="G683" s="14"/>
      <c r="H683" s="14"/>
      <c r="I683" s="14"/>
      <c r="J683" s="14"/>
      <c r="K683" s="15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38"/>
      <c r="F684" s="14"/>
      <c r="G684" s="14"/>
      <c r="H684" s="14"/>
      <c r="I684" s="14"/>
      <c r="J684" s="14"/>
      <c r="K684" s="15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38"/>
      <c r="F685" s="14"/>
      <c r="G685" s="14"/>
      <c r="H685" s="14"/>
      <c r="I685" s="14"/>
      <c r="J685" s="14"/>
      <c r="K685" s="15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38"/>
      <c r="F686" s="14"/>
      <c r="G686" s="14"/>
      <c r="H686" s="14"/>
      <c r="I686" s="14"/>
      <c r="J686" s="14"/>
      <c r="K686" s="15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38"/>
      <c r="F687" s="14"/>
      <c r="G687" s="14"/>
      <c r="H687" s="14"/>
      <c r="I687" s="14"/>
      <c r="J687" s="14"/>
      <c r="K687" s="15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38"/>
      <c r="F688" s="14"/>
      <c r="G688" s="14"/>
      <c r="H688" s="14"/>
      <c r="I688" s="14"/>
      <c r="J688" s="14"/>
      <c r="K688" s="15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38"/>
      <c r="F689" s="14"/>
      <c r="G689" s="14"/>
      <c r="H689" s="14"/>
      <c r="I689" s="14"/>
      <c r="J689" s="14"/>
      <c r="K689" s="15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38"/>
      <c r="F690" s="14"/>
      <c r="G690" s="14"/>
      <c r="H690" s="14"/>
      <c r="I690" s="14"/>
      <c r="J690" s="14"/>
      <c r="K690" s="15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38"/>
      <c r="F691" s="14"/>
      <c r="G691" s="14"/>
      <c r="H691" s="14"/>
      <c r="I691" s="14"/>
      <c r="J691" s="14"/>
      <c r="K691" s="15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38"/>
      <c r="F692" s="14"/>
      <c r="G692" s="14"/>
      <c r="H692" s="14"/>
      <c r="I692" s="14"/>
      <c r="J692" s="14"/>
      <c r="K692" s="15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38"/>
      <c r="F693" s="14"/>
      <c r="G693" s="14"/>
      <c r="H693" s="14"/>
      <c r="I693" s="14"/>
      <c r="J693" s="14"/>
      <c r="K693" s="15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38"/>
      <c r="F694" s="14"/>
      <c r="G694" s="14"/>
      <c r="H694" s="14"/>
      <c r="I694" s="14"/>
      <c r="J694" s="14"/>
      <c r="K694" s="15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38"/>
      <c r="F695" s="14"/>
      <c r="G695" s="14"/>
      <c r="H695" s="14"/>
      <c r="I695" s="14"/>
      <c r="J695" s="14"/>
      <c r="K695" s="15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38"/>
      <c r="F696" s="14"/>
      <c r="G696" s="14"/>
      <c r="H696" s="14"/>
      <c r="I696" s="14"/>
      <c r="J696" s="14"/>
      <c r="K696" s="15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38"/>
      <c r="F697" s="14"/>
      <c r="G697" s="14"/>
      <c r="H697" s="14"/>
      <c r="I697" s="14"/>
      <c r="J697" s="14"/>
      <c r="K697" s="15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38"/>
      <c r="F698" s="14"/>
      <c r="G698" s="14"/>
      <c r="H698" s="14"/>
      <c r="I698" s="14"/>
      <c r="J698" s="14"/>
      <c r="K698" s="15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38"/>
      <c r="F699" s="14"/>
      <c r="G699" s="14"/>
      <c r="H699" s="14"/>
      <c r="I699" s="14"/>
      <c r="J699" s="14"/>
      <c r="K699" s="15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38"/>
      <c r="F700" s="14"/>
      <c r="G700" s="14"/>
      <c r="H700" s="14"/>
      <c r="I700" s="14"/>
      <c r="J700" s="14"/>
      <c r="K700" s="15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38"/>
      <c r="F701" s="14"/>
      <c r="G701" s="14"/>
      <c r="H701" s="14"/>
      <c r="I701" s="14"/>
      <c r="J701" s="14"/>
      <c r="K701" s="15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38"/>
      <c r="F702" s="14"/>
      <c r="G702" s="14"/>
      <c r="H702" s="14"/>
      <c r="I702" s="14"/>
      <c r="J702" s="14"/>
      <c r="K702" s="15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38"/>
      <c r="F703" s="14"/>
      <c r="G703" s="14"/>
      <c r="H703" s="14"/>
      <c r="I703" s="14"/>
      <c r="J703" s="14"/>
      <c r="K703" s="15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38"/>
      <c r="F704" s="14"/>
      <c r="G704" s="14"/>
      <c r="H704" s="14"/>
      <c r="I704" s="14"/>
      <c r="J704" s="14"/>
      <c r="K704" s="15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38"/>
      <c r="F705" s="14"/>
      <c r="G705" s="14"/>
      <c r="H705" s="14"/>
      <c r="I705" s="14"/>
      <c r="J705" s="14"/>
      <c r="K705" s="15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38"/>
      <c r="F706" s="14"/>
      <c r="G706" s="14"/>
      <c r="H706" s="14"/>
      <c r="I706" s="14"/>
      <c r="J706" s="14"/>
      <c r="K706" s="15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38"/>
      <c r="F707" s="14"/>
      <c r="G707" s="14"/>
      <c r="H707" s="14"/>
      <c r="I707" s="14"/>
      <c r="J707" s="14"/>
      <c r="K707" s="15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38"/>
      <c r="F708" s="14"/>
      <c r="G708" s="14"/>
      <c r="H708" s="14"/>
      <c r="I708" s="14"/>
      <c r="J708" s="14"/>
      <c r="K708" s="15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38"/>
      <c r="F709" s="14"/>
      <c r="G709" s="14"/>
      <c r="H709" s="14"/>
      <c r="I709" s="14"/>
      <c r="J709" s="14"/>
      <c r="K709" s="15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38"/>
      <c r="F710" s="14"/>
      <c r="G710" s="14"/>
      <c r="H710" s="14"/>
      <c r="I710" s="14"/>
      <c r="J710" s="14"/>
      <c r="K710" s="15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38"/>
      <c r="F711" s="14"/>
      <c r="G711" s="14"/>
      <c r="H711" s="14"/>
      <c r="I711" s="14"/>
      <c r="J711" s="14"/>
      <c r="K711" s="15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38"/>
      <c r="F712" s="14"/>
      <c r="G712" s="14"/>
      <c r="H712" s="14"/>
      <c r="I712" s="14"/>
      <c r="J712" s="14"/>
      <c r="K712" s="15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38"/>
      <c r="F713" s="14"/>
      <c r="G713" s="14"/>
      <c r="H713" s="14"/>
      <c r="I713" s="14"/>
      <c r="J713" s="14"/>
      <c r="K713" s="15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38"/>
      <c r="F714" s="14"/>
      <c r="G714" s="14"/>
      <c r="H714" s="14"/>
      <c r="I714" s="14"/>
      <c r="J714" s="14"/>
      <c r="K714" s="15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38"/>
      <c r="F715" s="14"/>
      <c r="G715" s="14"/>
      <c r="H715" s="14"/>
      <c r="I715" s="14"/>
      <c r="J715" s="14"/>
      <c r="K715" s="15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38"/>
      <c r="F716" s="14"/>
      <c r="G716" s="14"/>
      <c r="H716" s="14"/>
      <c r="I716" s="14"/>
      <c r="J716" s="14"/>
      <c r="K716" s="15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38"/>
      <c r="F717" s="14"/>
      <c r="G717" s="14"/>
      <c r="H717" s="14"/>
      <c r="I717" s="14"/>
      <c r="J717" s="14"/>
      <c r="K717" s="15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38"/>
      <c r="F718" s="14"/>
      <c r="G718" s="14"/>
      <c r="H718" s="14"/>
      <c r="I718" s="14"/>
      <c r="J718" s="14"/>
      <c r="K718" s="15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38"/>
      <c r="F719" s="14"/>
      <c r="G719" s="14"/>
      <c r="H719" s="14"/>
      <c r="I719" s="14"/>
      <c r="J719" s="14"/>
      <c r="K719" s="15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38"/>
      <c r="F720" s="14"/>
      <c r="G720" s="14"/>
      <c r="H720" s="14"/>
      <c r="I720" s="14"/>
      <c r="J720" s="14"/>
      <c r="K720" s="15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38"/>
      <c r="F721" s="14"/>
      <c r="G721" s="14"/>
      <c r="H721" s="14"/>
      <c r="I721" s="14"/>
      <c r="J721" s="14"/>
      <c r="K721" s="15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38"/>
      <c r="F722" s="14"/>
      <c r="G722" s="14"/>
      <c r="H722" s="14"/>
      <c r="I722" s="14"/>
      <c r="J722" s="14"/>
      <c r="K722" s="15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38"/>
      <c r="F723" s="14"/>
      <c r="G723" s="14"/>
      <c r="H723" s="14"/>
      <c r="I723" s="14"/>
      <c r="J723" s="14"/>
      <c r="K723" s="15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38"/>
      <c r="F724" s="14"/>
      <c r="G724" s="14"/>
      <c r="H724" s="14"/>
      <c r="I724" s="14"/>
      <c r="J724" s="14"/>
      <c r="K724" s="15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38"/>
      <c r="F725" s="14"/>
      <c r="G725" s="14"/>
      <c r="H725" s="14"/>
      <c r="I725" s="14"/>
      <c r="J725" s="14"/>
      <c r="K725" s="15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38"/>
      <c r="F726" s="14"/>
      <c r="G726" s="14"/>
      <c r="H726" s="14"/>
      <c r="I726" s="14"/>
      <c r="J726" s="14"/>
      <c r="K726" s="15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38"/>
      <c r="F727" s="14"/>
      <c r="G727" s="14"/>
      <c r="H727" s="14"/>
      <c r="I727" s="14"/>
      <c r="J727" s="14"/>
      <c r="K727" s="15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38"/>
      <c r="F728" s="14"/>
      <c r="G728" s="14"/>
      <c r="H728" s="14"/>
      <c r="I728" s="14"/>
      <c r="J728" s="14"/>
      <c r="K728" s="15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38"/>
      <c r="F729" s="14"/>
      <c r="G729" s="14"/>
      <c r="H729" s="14"/>
      <c r="I729" s="14"/>
      <c r="J729" s="14"/>
      <c r="K729" s="15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38"/>
      <c r="F730" s="14"/>
      <c r="G730" s="14"/>
      <c r="H730" s="14"/>
      <c r="I730" s="14"/>
      <c r="J730" s="14"/>
      <c r="K730" s="15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38"/>
      <c r="F731" s="14"/>
      <c r="G731" s="14"/>
      <c r="H731" s="14"/>
      <c r="I731" s="14"/>
      <c r="J731" s="14"/>
      <c r="K731" s="15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38"/>
      <c r="F732" s="14"/>
      <c r="G732" s="14"/>
      <c r="H732" s="14"/>
      <c r="I732" s="14"/>
      <c r="J732" s="14"/>
      <c r="K732" s="15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38"/>
      <c r="F733" s="14"/>
      <c r="G733" s="14"/>
      <c r="H733" s="14"/>
      <c r="I733" s="14"/>
      <c r="J733" s="14"/>
      <c r="K733" s="15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38"/>
      <c r="F734" s="14"/>
      <c r="G734" s="14"/>
      <c r="H734" s="14"/>
      <c r="I734" s="14"/>
      <c r="J734" s="14"/>
      <c r="K734" s="15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38"/>
      <c r="F735" s="14"/>
      <c r="G735" s="14"/>
      <c r="H735" s="14"/>
      <c r="I735" s="14"/>
      <c r="J735" s="14"/>
      <c r="K735" s="15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38"/>
      <c r="F736" s="14"/>
      <c r="G736" s="14"/>
      <c r="H736" s="14"/>
      <c r="I736" s="14"/>
      <c r="J736" s="14"/>
      <c r="K736" s="15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38"/>
      <c r="F737" s="14"/>
      <c r="G737" s="14"/>
      <c r="H737" s="14"/>
      <c r="I737" s="14"/>
      <c r="J737" s="14"/>
      <c r="K737" s="15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38"/>
      <c r="F738" s="14"/>
      <c r="G738" s="14"/>
      <c r="H738" s="14"/>
      <c r="I738" s="14"/>
      <c r="J738" s="14"/>
      <c r="K738" s="15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38"/>
      <c r="F739" s="14"/>
      <c r="G739" s="14"/>
      <c r="H739" s="14"/>
      <c r="I739" s="14"/>
      <c r="J739" s="14"/>
      <c r="K739" s="15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38"/>
      <c r="F740" s="14"/>
      <c r="G740" s="14"/>
      <c r="H740" s="14"/>
      <c r="I740" s="14"/>
      <c r="J740" s="14"/>
      <c r="K740" s="15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38"/>
      <c r="F741" s="14"/>
      <c r="G741" s="14"/>
      <c r="H741" s="14"/>
      <c r="I741" s="14"/>
      <c r="J741" s="14"/>
      <c r="K741" s="15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38"/>
      <c r="F742" s="14"/>
      <c r="G742" s="14"/>
      <c r="H742" s="14"/>
      <c r="I742" s="14"/>
      <c r="J742" s="14"/>
      <c r="K742" s="15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38"/>
      <c r="F743" s="14"/>
      <c r="G743" s="14"/>
      <c r="H743" s="14"/>
      <c r="I743" s="14"/>
      <c r="J743" s="14"/>
      <c r="K743" s="15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38"/>
      <c r="F744" s="14"/>
      <c r="G744" s="14"/>
      <c r="H744" s="14"/>
      <c r="I744" s="14"/>
      <c r="J744" s="14"/>
      <c r="K744" s="15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38"/>
      <c r="F745" s="14"/>
      <c r="G745" s="14"/>
      <c r="H745" s="14"/>
      <c r="I745" s="14"/>
      <c r="J745" s="14"/>
      <c r="K745" s="15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38"/>
      <c r="F746" s="14"/>
      <c r="G746" s="14"/>
      <c r="H746" s="14"/>
      <c r="I746" s="14"/>
      <c r="J746" s="14"/>
      <c r="K746" s="15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38"/>
      <c r="F747" s="14"/>
      <c r="G747" s="14"/>
      <c r="H747" s="14"/>
      <c r="I747" s="14"/>
      <c r="J747" s="14"/>
      <c r="K747" s="15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38"/>
      <c r="F748" s="14"/>
      <c r="G748" s="14"/>
      <c r="H748" s="14"/>
      <c r="I748" s="14"/>
      <c r="J748" s="14"/>
      <c r="K748" s="15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38"/>
      <c r="F749" s="14"/>
      <c r="G749" s="14"/>
      <c r="H749" s="14"/>
      <c r="I749" s="14"/>
      <c r="J749" s="14"/>
      <c r="K749" s="15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38"/>
      <c r="F750" s="14"/>
      <c r="G750" s="14"/>
      <c r="H750" s="14"/>
      <c r="I750" s="14"/>
      <c r="J750" s="14"/>
      <c r="K750" s="15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38"/>
      <c r="F751" s="14"/>
      <c r="G751" s="14"/>
      <c r="H751" s="14"/>
      <c r="I751" s="14"/>
      <c r="J751" s="14"/>
      <c r="K751" s="15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38"/>
      <c r="F752" s="14"/>
      <c r="G752" s="14"/>
      <c r="H752" s="14"/>
      <c r="I752" s="14"/>
      <c r="J752" s="14"/>
      <c r="K752" s="15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38"/>
      <c r="F753" s="14"/>
      <c r="G753" s="14"/>
      <c r="H753" s="14"/>
      <c r="I753" s="14"/>
      <c r="J753" s="14"/>
      <c r="K753" s="15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38"/>
      <c r="F754" s="14"/>
      <c r="G754" s="14"/>
      <c r="H754" s="14"/>
      <c r="I754" s="14"/>
      <c r="J754" s="14"/>
      <c r="K754" s="15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38"/>
      <c r="F755" s="14"/>
      <c r="G755" s="14"/>
      <c r="H755" s="14"/>
      <c r="I755" s="14"/>
      <c r="J755" s="14"/>
      <c r="K755" s="15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38"/>
      <c r="F756" s="14"/>
      <c r="G756" s="14"/>
      <c r="H756" s="14"/>
      <c r="I756" s="14"/>
      <c r="J756" s="14"/>
      <c r="K756" s="15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38"/>
      <c r="F757" s="14"/>
      <c r="G757" s="14"/>
      <c r="H757" s="14"/>
      <c r="I757" s="14"/>
      <c r="J757" s="14"/>
      <c r="K757" s="15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38"/>
      <c r="F758" s="14"/>
      <c r="G758" s="14"/>
      <c r="H758" s="14"/>
      <c r="I758" s="14"/>
      <c r="J758" s="14"/>
      <c r="K758" s="15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38"/>
      <c r="F759" s="14"/>
      <c r="G759" s="14"/>
      <c r="H759" s="14"/>
      <c r="I759" s="14"/>
      <c r="J759" s="14"/>
      <c r="K759" s="15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38"/>
      <c r="F760" s="14"/>
      <c r="G760" s="14"/>
      <c r="H760" s="14"/>
      <c r="I760" s="14"/>
      <c r="J760" s="14"/>
      <c r="K760" s="15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38"/>
      <c r="F761" s="14"/>
      <c r="G761" s="14"/>
      <c r="H761" s="14"/>
      <c r="I761" s="14"/>
      <c r="J761" s="14"/>
      <c r="K761" s="15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38"/>
      <c r="F762" s="14"/>
      <c r="G762" s="14"/>
      <c r="H762" s="14"/>
      <c r="I762" s="14"/>
      <c r="J762" s="14"/>
      <c r="K762" s="15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38"/>
      <c r="F763" s="14"/>
      <c r="G763" s="14"/>
      <c r="H763" s="14"/>
      <c r="I763" s="14"/>
      <c r="J763" s="14"/>
      <c r="K763" s="15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38"/>
      <c r="F764" s="14"/>
      <c r="G764" s="14"/>
      <c r="H764" s="14"/>
      <c r="I764" s="14"/>
      <c r="J764" s="14"/>
      <c r="K764" s="15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38"/>
      <c r="F765" s="14"/>
      <c r="G765" s="14"/>
      <c r="H765" s="14"/>
      <c r="I765" s="14"/>
      <c r="J765" s="14"/>
      <c r="K765" s="15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38"/>
      <c r="F766" s="14"/>
      <c r="G766" s="14"/>
      <c r="H766" s="14"/>
      <c r="I766" s="14"/>
      <c r="J766" s="14"/>
      <c r="K766" s="15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38"/>
      <c r="F767" s="14"/>
      <c r="G767" s="14"/>
      <c r="H767" s="14"/>
      <c r="I767" s="14"/>
      <c r="J767" s="14"/>
      <c r="K767" s="15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38"/>
      <c r="F768" s="14"/>
      <c r="G768" s="14"/>
      <c r="H768" s="14"/>
      <c r="I768" s="14"/>
      <c r="J768" s="14"/>
      <c r="K768" s="15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38"/>
      <c r="F769" s="14"/>
      <c r="G769" s="14"/>
      <c r="H769" s="14"/>
      <c r="I769" s="14"/>
      <c r="J769" s="14"/>
      <c r="K769" s="15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38"/>
      <c r="F770" s="14"/>
      <c r="G770" s="14"/>
      <c r="H770" s="14"/>
      <c r="I770" s="14"/>
      <c r="J770" s="14"/>
      <c r="K770" s="15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38"/>
      <c r="F771" s="14"/>
      <c r="G771" s="14"/>
      <c r="H771" s="14"/>
      <c r="I771" s="14"/>
      <c r="J771" s="14"/>
      <c r="K771" s="15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38"/>
      <c r="F772" s="14"/>
      <c r="G772" s="14"/>
      <c r="H772" s="14"/>
      <c r="I772" s="14"/>
      <c r="J772" s="14"/>
      <c r="K772" s="15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38"/>
      <c r="F773" s="14"/>
      <c r="G773" s="14"/>
      <c r="H773" s="14"/>
      <c r="I773" s="14"/>
      <c r="J773" s="14"/>
      <c r="K773" s="15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38"/>
      <c r="F774" s="14"/>
      <c r="G774" s="14"/>
      <c r="H774" s="14"/>
      <c r="I774" s="14"/>
      <c r="J774" s="14"/>
      <c r="K774" s="15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38"/>
      <c r="F775" s="14"/>
      <c r="G775" s="14"/>
      <c r="H775" s="14"/>
      <c r="I775" s="14"/>
      <c r="J775" s="14"/>
      <c r="K775" s="15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38"/>
      <c r="F776" s="14"/>
      <c r="G776" s="14"/>
      <c r="H776" s="14"/>
      <c r="I776" s="14"/>
      <c r="J776" s="14"/>
      <c r="K776" s="15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38"/>
      <c r="F777" s="14"/>
      <c r="G777" s="14"/>
      <c r="H777" s="14"/>
      <c r="I777" s="14"/>
      <c r="J777" s="14"/>
      <c r="K777" s="15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38"/>
      <c r="F778" s="14"/>
      <c r="G778" s="14"/>
      <c r="H778" s="14"/>
      <c r="I778" s="14"/>
      <c r="J778" s="14"/>
      <c r="K778" s="15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38"/>
      <c r="F779" s="14"/>
      <c r="G779" s="14"/>
      <c r="H779" s="14"/>
      <c r="I779" s="14"/>
      <c r="J779" s="14"/>
      <c r="K779" s="15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38"/>
      <c r="F780" s="14"/>
      <c r="G780" s="14"/>
      <c r="H780" s="14"/>
      <c r="I780" s="14"/>
      <c r="J780" s="14"/>
      <c r="K780" s="15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38"/>
      <c r="F781" s="14"/>
      <c r="G781" s="14"/>
      <c r="H781" s="14"/>
      <c r="I781" s="14"/>
      <c r="J781" s="14"/>
      <c r="K781" s="15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38"/>
      <c r="F782" s="14"/>
      <c r="G782" s="14"/>
      <c r="H782" s="14"/>
      <c r="I782" s="14"/>
      <c r="J782" s="14"/>
      <c r="K782" s="15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38"/>
      <c r="F783" s="14"/>
      <c r="G783" s="14"/>
      <c r="H783" s="14"/>
      <c r="I783" s="14"/>
      <c r="J783" s="14"/>
      <c r="K783" s="15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38"/>
      <c r="F784" s="14"/>
      <c r="G784" s="14"/>
      <c r="H784" s="14"/>
      <c r="I784" s="14"/>
      <c r="J784" s="14"/>
      <c r="K784" s="15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38"/>
      <c r="F785" s="14"/>
      <c r="G785" s="14"/>
      <c r="H785" s="14"/>
      <c r="I785" s="14"/>
      <c r="J785" s="14"/>
      <c r="K785" s="15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38"/>
      <c r="F786" s="14"/>
      <c r="G786" s="14"/>
      <c r="H786" s="14"/>
      <c r="I786" s="14"/>
      <c r="J786" s="14"/>
      <c r="K786" s="15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38"/>
      <c r="F787" s="14"/>
      <c r="G787" s="14"/>
      <c r="H787" s="14"/>
      <c r="I787" s="14"/>
      <c r="J787" s="14"/>
      <c r="K787" s="15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38"/>
      <c r="F788" s="14"/>
      <c r="G788" s="14"/>
      <c r="H788" s="14"/>
      <c r="I788" s="14"/>
      <c r="J788" s="14"/>
      <c r="K788" s="15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38"/>
      <c r="F789" s="14"/>
      <c r="G789" s="14"/>
      <c r="H789" s="14"/>
      <c r="I789" s="14"/>
      <c r="J789" s="14"/>
      <c r="K789" s="15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38"/>
      <c r="F790" s="14"/>
      <c r="G790" s="14"/>
      <c r="H790" s="14"/>
      <c r="I790" s="14"/>
      <c r="J790" s="14"/>
      <c r="K790" s="15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38"/>
      <c r="F791" s="14"/>
      <c r="G791" s="14"/>
      <c r="H791" s="14"/>
      <c r="I791" s="14"/>
      <c r="J791" s="14"/>
      <c r="K791" s="15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38"/>
      <c r="F792" s="14"/>
      <c r="G792" s="14"/>
      <c r="H792" s="14"/>
      <c r="I792" s="14"/>
      <c r="J792" s="14"/>
      <c r="K792" s="15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38"/>
      <c r="F793" s="14"/>
      <c r="G793" s="14"/>
      <c r="H793" s="14"/>
      <c r="I793" s="14"/>
      <c r="J793" s="14"/>
      <c r="K793" s="15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38"/>
      <c r="F794" s="14"/>
      <c r="G794" s="14"/>
      <c r="H794" s="14"/>
      <c r="I794" s="14"/>
      <c r="J794" s="14"/>
      <c r="K794" s="15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38"/>
      <c r="F795" s="14"/>
      <c r="G795" s="14"/>
      <c r="H795" s="14"/>
      <c r="I795" s="14"/>
      <c r="J795" s="14"/>
      <c r="K795" s="15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38"/>
      <c r="F796" s="14"/>
      <c r="G796" s="14"/>
      <c r="H796" s="14"/>
      <c r="I796" s="14"/>
      <c r="J796" s="14"/>
      <c r="K796" s="15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38"/>
      <c r="F797" s="14"/>
      <c r="G797" s="14"/>
      <c r="H797" s="14"/>
      <c r="I797" s="14"/>
      <c r="J797" s="14"/>
      <c r="K797" s="15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38"/>
      <c r="F798" s="14"/>
      <c r="G798" s="14"/>
      <c r="H798" s="14"/>
      <c r="I798" s="14"/>
      <c r="J798" s="14"/>
      <c r="K798" s="15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38"/>
      <c r="F799" s="14"/>
      <c r="G799" s="14"/>
      <c r="H799" s="14"/>
      <c r="I799" s="14"/>
      <c r="J799" s="14"/>
      <c r="K799" s="15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38"/>
      <c r="F800" s="14"/>
      <c r="G800" s="14"/>
      <c r="H800" s="14"/>
      <c r="I800" s="14"/>
      <c r="J800" s="14"/>
      <c r="K800" s="15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38"/>
      <c r="F801" s="14"/>
      <c r="G801" s="14"/>
      <c r="H801" s="14"/>
      <c r="I801" s="14"/>
      <c r="J801" s="14"/>
      <c r="K801" s="15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38"/>
      <c r="F802" s="14"/>
      <c r="G802" s="14"/>
      <c r="H802" s="14"/>
      <c r="I802" s="14"/>
      <c r="J802" s="14"/>
      <c r="K802" s="15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38"/>
      <c r="F803" s="14"/>
      <c r="G803" s="14"/>
      <c r="H803" s="14"/>
      <c r="I803" s="14"/>
      <c r="J803" s="14"/>
      <c r="K803" s="15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38"/>
      <c r="F804" s="14"/>
      <c r="G804" s="14"/>
      <c r="H804" s="14"/>
      <c r="I804" s="14"/>
      <c r="J804" s="14"/>
      <c r="K804" s="15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38"/>
      <c r="F805" s="14"/>
      <c r="G805" s="14"/>
      <c r="H805" s="14"/>
      <c r="I805" s="14"/>
      <c r="J805" s="14"/>
      <c r="K805" s="15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38"/>
      <c r="F806" s="14"/>
      <c r="G806" s="14"/>
      <c r="H806" s="14"/>
      <c r="I806" s="14"/>
      <c r="J806" s="14"/>
      <c r="K806" s="15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38"/>
      <c r="F807" s="14"/>
      <c r="G807" s="14"/>
      <c r="H807" s="14"/>
      <c r="I807" s="14"/>
      <c r="J807" s="14"/>
      <c r="K807" s="15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38"/>
      <c r="F808" s="14"/>
      <c r="G808" s="14"/>
      <c r="H808" s="14"/>
      <c r="I808" s="14"/>
      <c r="J808" s="14"/>
      <c r="K808" s="15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38"/>
      <c r="F809" s="14"/>
      <c r="G809" s="14"/>
      <c r="H809" s="14"/>
      <c r="I809" s="14"/>
      <c r="J809" s="14"/>
      <c r="K809" s="15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38"/>
      <c r="F810" s="14"/>
      <c r="G810" s="14"/>
      <c r="H810" s="14"/>
      <c r="I810" s="14"/>
      <c r="J810" s="14"/>
      <c r="K810" s="15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38"/>
      <c r="F811" s="14"/>
      <c r="G811" s="14"/>
      <c r="H811" s="14"/>
      <c r="I811" s="14"/>
      <c r="J811" s="14"/>
      <c r="K811" s="15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38"/>
      <c r="F812" s="14"/>
      <c r="G812" s="14"/>
      <c r="H812" s="14"/>
      <c r="I812" s="14"/>
      <c r="J812" s="14"/>
      <c r="K812" s="15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38"/>
      <c r="F813" s="14"/>
      <c r="G813" s="14"/>
      <c r="H813" s="14"/>
      <c r="I813" s="14"/>
      <c r="J813" s="14"/>
      <c r="K813" s="15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38"/>
      <c r="F814" s="14"/>
      <c r="G814" s="14"/>
      <c r="H814" s="14"/>
      <c r="I814" s="14"/>
      <c r="J814" s="14"/>
      <c r="K814" s="15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38"/>
      <c r="F815" s="14"/>
      <c r="G815" s="14"/>
      <c r="H815" s="14"/>
      <c r="I815" s="14"/>
      <c r="J815" s="14"/>
      <c r="K815" s="15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38"/>
      <c r="F816" s="14"/>
      <c r="G816" s="14"/>
      <c r="H816" s="14"/>
      <c r="I816" s="14"/>
      <c r="J816" s="14"/>
      <c r="K816" s="15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38"/>
      <c r="F817" s="14"/>
      <c r="G817" s="14"/>
      <c r="H817" s="14"/>
      <c r="I817" s="14"/>
      <c r="J817" s="14"/>
      <c r="K817" s="15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38"/>
      <c r="F818" s="14"/>
      <c r="G818" s="14"/>
      <c r="H818" s="14"/>
      <c r="I818" s="14"/>
      <c r="J818" s="14"/>
      <c r="K818" s="15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38"/>
      <c r="F819" s="14"/>
      <c r="G819" s="14"/>
      <c r="H819" s="14"/>
      <c r="I819" s="14"/>
      <c r="J819" s="14"/>
      <c r="K819" s="15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38"/>
      <c r="F820" s="14"/>
      <c r="G820" s="14"/>
      <c r="H820" s="14"/>
      <c r="I820" s="14"/>
      <c r="J820" s="14"/>
      <c r="K820" s="15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38"/>
      <c r="F821" s="14"/>
      <c r="G821" s="14"/>
      <c r="H821" s="14"/>
      <c r="I821" s="14"/>
      <c r="J821" s="14"/>
      <c r="K821" s="15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38"/>
      <c r="F822" s="14"/>
      <c r="G822" s="14"/>
      <c r="H822" s="14"/>
      <c r="I822" s="14"/>
      <c r="J822" s="14"/>
      <c r="K822" s="15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38"/>
      <c r="F823" s="14"/>
      <c r="G823" s="14"/>
      <c r="H823" s="14"/>
      <c r="I823" s="14"/>
      <c r="J823" s="14"/>
      <c r="K823" s="15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38"/>
      <c r="F824" s="14"/>
      <c r="G824" s="14"/>
      <c r="H824" s="14"/>
      <c r="I824" s="14"/>
      <c r="J824" s="14"/>
      <c r="K824" s="15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38"/>
      <c r="F825" s="14"/>
      <c r="G825" s="14"/>
      <c r="H825" s="14"/>
      <c r="I825" s="14"/>
      <c r="J825" s="14"/>
      <c r="K825" s="15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38"/>
      <c r="F826" s="14"/>
      <c r="G826" s="14"/>
      <c r="H826" s="14"/>
      <c r="I826" s="14"/>
      <c r="J826" s="14"/>
      <c r="K826" s="15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38"/>
      <c r="F827" s="14"/>
      <c r="G827" s="14"/>
      <c r="H827" s="14"/>
      <c r="I827" s="14"/>
      <c r="J827" s="14"/>
      <c r="K827" s="15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38"/>
      <c r="F828" s="14"/>
      <c r="G828" s="14"/>
      <c r="H828" s="14"/>
      <c r="I828" s="14"/>
      <c r="J828" s="14"/>
      <c r="K828" s="15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38"/>
      <c r="F829" s="14"/>
      <c r="G829" s="14"/>
      <c r="H829" s="14"/>
      <c r="I829" s="14"/>
      <c r="J829" s="14"/>
      <c r="K829" s="15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38"/>
      <c r="F830" s="14"/>
      <c r="G830" s="14"/>
      <c r="H830" s="14"/>
      <c r="I830" s="14"/>
      <c r="J830" s="14"/>
      <c r="K830" s="15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38"/>
      <c r="F831" s="14"/>
      <c r="G831" s="14"/>
      <c r="H831" s="14"/>
      <c r="I831" s="14"/>
      <c r="J831" s="14"/>
      <c r="K831" s="15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38"/>
      <c r="F832" s="14"/>
      <c r="G832" s="14"/>
      <c r="H832" s="14"/>
      <c r="I832" s="14"/>
      <c r="J832" s="14"/>
      <c r="K832" s="15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38"/>
      <c r="F833" s="14"/>
      <c r="G833" s="14"/>
      <c r="H833" s="14"/>
      <c r="I833" s="14"/>
      <c r="J833" s="14"/>
      <c r="K833" s="15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38"/>
      <c r="F834" s="14"/>
      <c r="G834" s="14"/>
      <c r="H834" s="14"/>
      <c r="I834" s="14"/>
      <c r="J834" s="14"/>
      <c r="K834" s="15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38"/>
      <c r="F835" s="14"/>
      <c r="G835" s="14"/>
      <c r="H835" s="14"/>
      <c r="I835" s="14"/>
      <c r="J835" s="14"/>
      <c r="K835" s="15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38"/>
      <c r="F836" s="14"/>
      <c r="G836" s="14"/>
      <c r="H836" s="14"/>
      <c r="I836" s="14"/>
      <c r="J836" s="14"/>
      <c r="K836" s="15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38"/>
      <c r="F837" s="14"/>
      <c r="G837" s="14"/>
      <c r="H837" s="14"/>
      <c r="I837" s="14"/>
      <c r="J837" s="14"/>
      <c r="K837" s="15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38"/>
      <c r="F838" s="14"/>
      <c r="G838" s="14"/>
      <c r="H838" s="14"/>
      <c r="I838" s="14"/>
      <c r="J838" s="14"/>
      <c r="K838" s="15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38"/>
      <c r="F839" s="14"/>
      <c r="G839" s="14"/>
      <c r="H839" s="14"/>
      <c r="I839" s="14"/>
      <c r="J839" s="14"/>
      <c r="K839" s="15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38"/>
      <c r="F840" s="14"/>
      <c r="G840" s="14"/>
      <c r="H840" s="14"/>
      <c r="I840" s="14"/>
      <c r="J840" s="14"/>
      <c r="K840" s="15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38"/>
      <c r="F841" s="14"/>
      <c r="G841" s="14"/>
      <c r="H841" s="14"/>
      <c r="I841" s="14"/>
      <c r="J841" s="14"/>
      <c r="K841" s="15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38"/>
      <c r="F842" s="14"/>
      <c r="G842" s="14"/>
      <c r="H842" s="14"/>
      <c r="I842" s="14"/>
      <c r="J842" s="14"/>
      <c r="K842" s="15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38"/>
      <c r="F843" s="14"/>
      <c r="G843" s="14"/>
      <c r="H843" s="14"/>
      <c r="I843" s="14"/>
      <c r="J843" s="14"/>
      <c r="K843" s="15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38"/>
      <c r="F844" s="14"/>
      <c r="G844" s="14"/>
      <c r="H844" s="14"/>
      <c r="I844" s="14"/>
      <c r="J844" s="14"/>
      <c r="K844" s="15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38"/>
      <c r="F845" s="14"/>
      <c r="G845" s="14"/>
      <c r="H845" s="14"/>
      <c r="I845" s="14"/>
      <c r="J845" s="14"/>
      <c r="K845" s="15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38"/>
      <c r="F846" s="14"/>
      <c r="G846" s="14"/>
      <c r="H846" s="14"/>
      <c r="I846" s="14"/>
      <c r="J846" s="14"/>
      <c r="K846" s="15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38"/>
      <c r="F847" s="14"/>
      <c r="G847" s="14"/>
      <c r="H847" s="14"/>
      <c r="I847" s="14"/>
      <c r="J847" s="14"/>
      <c r="K847" s="15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38"/>
      <c r="F848" s="14"/>
      <c r="G848" s="14"/>
      <c r="H848" s="14"/>
      <c r="I848" s="14"/>
      <c r="J848" s="14"/>
      <c r="K848" s="15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38"/>
      <c r="F849" s="14"/>
      <c r="G849" s="14"/>
      <c r="H849" s="14"/>
      <c r="I849" s="14"/>
      <c r="J849" s="14"/>
      <c r="K849" s="15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38"/>
      <c r="F850" s="14"/>
      <c r="G850" s="14"/>
      <c r="H850" s="14"/>
      <c r="I850" s="14"/>
      <c r="J850" s="14"/>
      <c r="K850" s="15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38"/>
      <c r="F851" s="14"/>
      <c r="G851" s="14"/>
      <c r="H851" s="14"/>
      <c r="I851" s="14"/>
      <c r="J851" s="14"/>
      <c r="K851" s="15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38"/>
      <c r="F852" s="14"/>
      <c r="G852" s="14"/>
      <c r="H852" s="14"/>
      <c r="I852" s="14"/>
      <c r="J852" s="14"/>
      <c r="K852" s="15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38"/>
      <c r="F853" s="14"/>
      <c r="G853" s="14"/>
      <c r="H853" s="14"/>
      <c r="I853" s="14"/>
      <c r="J853" s="14"/>
      <c r="K853" s="15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38"/>
      <c r="F854" s="14"/>
      <c r="G854" s="14"/>
      <c r="H854" s="14"/>
      <c r="I854" s="14"/>
      <c r="J854" s="14"/>
      <c r="K854" s="15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38"/>
      <c r="F855" s="14"/>
      <c r="G855" s="14"/>
      <c r="H855" s="14"/>
      <c r="I855" s="14"/>
      <c r="J855" s="14"/>
      <c r="K855" s="15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38"/>
      <c r="F856" s="14"/>
      <c r="G856" s="14"/>
      <c r="H856" s="14"/>
      <c r="I856" s="14"/>
      <c r="J856" s="14"/>
      <c r="K856" s="15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38"/>
      <c r="F857" s="14"/>
      <c r="G857" s="14"/>
      <c r="H857" s="14"/>
      <c r="I857" s="14"/>
      <c r="J857" s="14"/>
      <c r="K857" s="15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38"/>
      <c r="F858" s="14"/>
      <c r="G858" s="14"/>
      <c r="H858" s="14"/>
      <c r="I858" s="14"/>
      <c r="J858" s="14"/>
      <c r="K858" s="15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38"/>
      <c r="F859" s="14"/>
      <c r="G859" s="14"/>
      <c r="H859" s="14"/>
      <c r="I859" s="14"/>
      <c r="J859" s="14"/>
      <c r="K859" s="15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38"/>
      <c r="F860" s="14"/>
      <c r="G860" s="14"/>
      <c r="H860" s="14"/>
      <c r="I860" s="14"/>
      <c r="J860" s="14"/>
      <c r="K860" s="15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38"/>
      <c r="F861" s="14"/>
      <c r="G861" s="14"/>
      <c r="H861" s="14"/>
      <c r="I861" s="14"/>
      <c r="J861" s="14"/>
      <c r="K861" s="15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38"/>
      <c r="F862" s="14"/>
      <c r="G862" s="14"/>
      <c r="H862" s="14"/>
      <c r="I862" s="14"/>
      <c r="J862" s="14"/>
      <c r="K862" s="15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38"/>
      <c r="F863" s="14"/>
      <c r="G863" s="14"/>
      <c r="H863" s="14"/>
      <c r="I863" s="14"/>
      <c r="J863" s="14"/>
      <c r="K863" s="15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38"/>
      <c r="F864" s="14"/>
      <c r="G864" s="14"/>
      <c r="H864" s="14"/>
      <c r="I864" s="14"/>
      <c r="J864" s="14"/>
      <c r="K864" s="15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38"/>
      <c r="F865" s="14"/>
      <c r="G865" s="14"/>
      <c r="H865" s="14"/>
      <c r="I865" s="14"/>
      <c r="J865" s="14"/>
      <c r="K865" s="15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38"/>
      <c r="F866" s="14"/>
      <c r="G866" s="14"/>
      <c r="H866" s="14"/>
      <c r="I866" s="14"/>
      <c r="J866" s="14"/>
      <c r="K866" s="15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38"/>
      <c r="F867" s="14"/>
      <c r="G867" s="14"/>
      <c r="H867" s="14"/>
      <c r="I867" s="14"/>
      <c r="J867" s="14"/>
      <c r="K867" s="15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38"/>
      <c r="F868" s="14"/>
      <c r="G868" s="14"/>
      <c r="H868" s="14"/>
      <c r="I868" s="14"/>
      <c r="J868" s="14"/>
      <c r="K868" s="15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38"/>
      <c r="F869" s="14"/>
      <c r="G869" s="14"/>
      <c r="H869" s="14"/>
      <c r="I869" s="14"/>
      <c r="J869" s="14"/>
      <c r="K869" s="15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38"/>
      <c r="F870" s="14"/>
      <c r="G870" s="14"/>
      <c r="H870" s="14"/>
      <c r="I870" s="14"/>
      <c r="J870" s="14"/>
      <c r="K870" s="15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38"/>
      <c r="F871" s="14"/>
      <c r="G871" s="14"/>
      <c r="H871" s="14"/>
      <c r="I871" s="14"/>
      <c r="J871" s="14"/>
      <c r="K871" s="15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38"/>
      <c r="F872" s="14"/>
      <c r="G872" s="14"/>
      <c r="H872" s="14"/>
      <c r="I872" s="14"/>
      <c r="J872" s="14"/>
      <c r="K872" s="15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38"/>
      <c r="F873" s="14"/>
      <c r="G873" s="14"/>
      <c r="H873" s="14"/>
      <c r="I873" s="14"/>
      <c r="J873" s="14"/>
      <c r="K873" s="15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38"/>
      <c r="F874" s="14"/>
      <c r="G874" s="14"/>
      <c r="H874" s="14"/>
      <c r="I874" s="14"/>
      <c r="J874" s="14"/>
      <c r="K874" s="15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38"/>
      <c r="F875" s="14"/>
      <c r="G875" s="14"/>
      <c r="H875" s="14"/>
      <c r="I875" s="14"/>
      <c r="J875" s="14"/>
      <c r="K875" s="15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38"/>
      <c r="F876" s="14"/>
      <c r="G876" s="14"/>
      <c r="H876" s="14"/>
      <c r="I876" s="14"/>
      <c r="J876" s="14"/>
      <c r="K876" s="15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38"/>
      <c r="F877" s="14"/>
      <c r="G877" s="14"/>
      <c r="H877" s="14"/>
      <c r="I877" s="14"/>
      <c r="J877" s="14"/>
      <c r="K877" s="15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38"/>
      <c r="F878" s="14"/>
      <c r="G878" s="14"/>
      <c r="H878" s="14"/>
      <c r="I878" s="14"/>
      <c r="J878" s="14"/>
      <c r="K878" s="15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38"/>
      <c r="F879" s="14"/>
      <c r="G879" s="14"/>
      <c r="H879" s="14"/>
      <c r="I879" s="14"/>
      <c r="J879" s="14"/>
      <c r="K879" s="15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38"/>
      <c r="F880" s="14"/>
      <c r="G880" s="14"/>
      <c r="H880" s="14"/>
      <c r="I880" s="14"/>
      <c r="J880" s="14"/>
      <c r="K880" s="15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38"/>
      <c r="F881" s="14"/>
      <c r="G881" s="14"/>
      <c r="H881" s="14"/>
      <c r="I881" s="14"/>
      <c r="J881" s="14"/>
      <c r="K881" s="15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38"/>
      <c r="F882" s="14"/>
      <c r="G882" s="14"/>
      <c r="H882" s="14"/>
      <c r="I882" s="14"/>
      <c r="J882" s="14"/>
      <c r="K882" s="15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38"/>
      <c r="F883" s="14"/>
      <c r="G883" s="14"/>
      <c r="H883" s="14"/>
      <c r="I883" s="14"/>
      <c r="J883" s="14"/>
      <c r="K883" s="15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38"/>
      <c r="F884" s="14"/>
      <c r="G884" s="14"/>
      <c r="H884" s="14"/>
      <c r="I884" s="14"/>
      <c r="J884" s="14"/>
      <c r="K884" s="15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38"/>
      <c r="F885" s="14"/>
      <c r="G885" s="14"/>
      <c r="H885" s="14"/>
      <c r="I885" s="14"/>
      <c r="J885" s="14"/>
      <c r="K885" s="15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38"/>
      <c r="F886" s="14"/>
      <c r="G886" s="14"/>
      <c r="H886" s="14"/>
      <c r="I886" s="14"/>
      <c r="J886" s="14"/>
      <c r="K886" s="15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38"/>
      <c r="F887" s="14"/>
      <c r="G887" s="14"/>
      <c r="H887" s="14"/>
      <c r="I887" s="14"/>
      <c r="J887" s="14"/>
      <c r="K887" s="15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38"/>
      <c r="F888" s="14"/>
      <c r="G888" s="14"/>
      <c r="H888" s="14"/>
      <c r="I888" s="14"/>
      <c r="J888" s="14"/>
      <c r="K888" s="15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38"/>
      <c r="F889" s="14"/>
      <c r="G889" s="14"/>
      <c r="H889" s="14"/>
      <c r="I889" s="14"/>
      <c r="J889" s="14"/>
      <c r="K889" s="15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38"/>
      <c r="F890" s="14"/>
      <c r="G890" s="14"/>
      <c r="H890" s="14"/>
      <c r="I890" s="14"/>
      <c r="J890" s="14"/>
      <c r="K890" s="15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38"/>
      <c r="F891" s="14"/>
      <c r="G891" s="14"/>
      <c r="H891" s="14"/>
      <c r="I891" s="14"/>
      <c r="J891" s="14"/>
      <c r="K891" s="15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38"/>
      <c r="F892" s="14"/>
      <c r="G892" s="14"/>
      <c r="H892" s="14"/>
      <c r="I892" s="14"/>
      <c r="J892" s="14"/>
      <c r="K892" s="15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38"/>
      <c r="F893" s="14"/>
      <c r="G893" s="14"/>
      <c r="H893" s="14"/>
      <c r="I893" s="14"/>
      <c r="J893" s="14"/>
      <c r="K893" s="15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38"/>
      <c r="F894" s="14"/>
      <c r="G894" s="14"/>
      <c r="H894" s="14"/>
      <c r="I894" s="14"/>
      <c r="J894" s="14"/>
      <c r="K894" s="15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38"/>
      <c r="F895" s="14"/>
      <c r="G895" s="14"/>
      <c r="H895" s="14"/>
      <c r="I895" s="14"/>
      <c r="J895" s="14"/>
      <c r="K895" s="15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38"/>
      <c r="F896" s="14"/>
      <c r="G896" s="14"/>
      <c r="H896" s="14"/>
      <c r="I896" s="14"/>
      <c r="J896" s="14"/>
      <c r="K896" s="15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38"/>
      <c r="F897" s="14"/>
      <c r="G897" s="14"/>
      <c r="H897" s="14"/>
      <c r="I897" s="14"/>
      <c r="J897" s="14"/>
      <c r="K897" s="15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38"/>
      <c r="F898" s="14"/>
      <c r="G898" s="14"/>
      <c r="H898" s="14"/>
      <c r="I898" s="14"/>
      <c r="J898" s="14"/>
      <c r="K898" s="15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38"/>
      <c r="F899" s="14"/>
      <c r="G899" s="14"/>
      <c r="H899" s="14"/>
      <c r="I899" s="14"/>
      <c r="J899" s="14"/>
      <c r="K899" s="15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38"/>
      <c r="F900" s="14"/>
      <c r="G900" s="14"/>
      <c r="H900" s="14"/>
      <c r="I900" s="14"/>
      <c r="J900" s="14"/>
      <c r="K900" s="15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38"/>
      <c r="F901" s="14"/>
      <c r="G901" s="14"/>
      <c r="H901" s="14"/>
      <c r="I901" s="14"/>
      <c r="J901" s="14"/>
      <c r="K901" s="15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38"/>
      <c r="F902" s="14"/>
      <c r="G902" s="14"/>
      <c r="H902" s="14"/>
      <c r="I902" s="14"/>
      <c r="J902" s="14"/>
      <c r="K902" s="15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38"/>
      <c r="F903" s="14"/>
      <c r="G903" s="14"/>
      <c r="H903" s="14"/>
      <c r="I903" s="14"/>
      <c r="J903" s="14"/>
      <c r="K903" s="15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38"/>
      <c r="F904" s="14"/>
      <c r="G904" s="14"/>
      <c r="H904" s="14"/>
      <c r="I904" s="14"/>
      <c r="J904" s="14"/>
      <c r="K904" s="15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38"/>
      <c r="F905" s="14"/>
      <c r="G905" s="14"/>
      <c r="H905" s="14"/>
      <c r="I905" s="14"/>
      <c r="J905" s="14"/>
      <c r="K905" s="15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38"/>
      <c r="F906" s="14"/>
      <c r="G906" s="14"/>
      <c r="H906" s="14"/>
      <c r="I906" s="14"/>
      <c r="J906" s="14"/>
      <c r="K906" s="15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38"/>
      <c r="F907" s="14"/>
      <c r="G907" s="14"/>
      <c r="H907" s="14"/>
      <c r="I907" s="14"/>
      <c r="J907" s="14"/>
      <c r="K907" s="15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38"/>
      <c r="F908" s="14"/>
      <c r="G908" s="14"/>
      <c r="H908" s="14"/>
      <c r="I908" s="14"/>
      <c r="J908" s="14"/>
      <c r="K908" s="15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38"/>
      <c r="F909" s="14"/>
      <c r="G909" s="14"/>
      <c r="H909" s="14"/>
      <c r="I909" s="14"/>
      <c r="J909" s="14"/>
      <c r="K909" s="15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38"/>
      <c r="F910" s="14"/>
      <c r="G910" s="14"/>
      <c r="H910" s="14"/>
      <c r="I910" s="14"/>
      <c r="J910" s="14"/>
      <c r="K910" s="15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38"/>
      <c r="F911" s="14"/>
      <c r="G911" s="14"/>
      <c r="H911" s="14"/>
      <c r="I911" s="14"/>
      <c r="J911" s="14"/>
      <c r="K911" s="15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38"/>
      <c r="F912" s="14"/>
      <c r="G912" s="14"/>
      <c r="H912" s="14"/>
      <c r="I912" s="14"/>
      <c r="J912" s="14"/>
      <c r="K912" s="15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38"/>
      <c r="F913" s="14"/>
      <c r="G913" s="14"/>
      <c r="H913" s="14"/>
      <c r="I913" s="14"/>
      <c r="J913" s="14"/>
      <c r="K913" s="15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38"/>
      <c r="F914" s="14"/>
      <c r="G914" s="14"/>
      <c r="H914" s="14"/>
      <c r="I914" s="14"/>
      <c r="J914" s="14"/>
      <c r="K914" s="15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38"/>
      <c r="F915" s="14"/>
      <c r="G915" s="14"/>
      <c r="H915" s="14"/>
      <c r="I915" s="14"/>
      <c r="J915" s="14"/>
      <c r="K915" s="15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38"/>
      <c r="F916" s="14"/>
      <c r="G916" s="14"/>
      <c r="H916" s="14"/>
      <c r="I916" s="14"/>
      <c r="J916" s="14"/>
      <c r="K916" s="15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38"/>
      <c r="F917" s="14"/>
      <c r="G917" s="14"/>
      <c r="H917" s="14"/>
      <c r="I917" s="14"/>
      <c r="J917" s="14"/>
      <c r="K917" s="15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38"/>
      <c r="F918" s="14"/>
      <c r="G918" s="14"/>
      <c r="H918" s="14"/>
      <c r="I918" s="14"/>
      <c r="J918" s="14"/>
      <c r="K918" s="15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38"/>
      <c r="F919" s="14"/>
      <c r="G919" s="14"/>
      <c r="H919" s="14"/>
      <c r="I919" s="14"/>
      <c r="J919" s="14"/>
      <c r="K919" s="15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38"/>
      <c r="F920" s="14"/>
      <c r="G920" s="14"/>
      <c r="H920" s="14"/>
      <c r="I920" s="14"/>
      <c r="J920" s="14"/>
      <c r="K920" s="15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38"/>
      <c r="F921" s="14"/>
      <c r="G921" s="14"/>
      <c r="H921" s="14"/>
      <c r="I921" s="14"/>
      <c r="J921" s="14"/>
      <c r="K921" s="15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38"/>
      <c r="F922" s="14"/>
      <c r="G922" s="14"/>
      <c r="H922" s="14"/>
      <c r="I922" s="14"/>
      <c r="J922" s="14"/>
      <c r="K922" s="15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38"/>
      <c r="F923" s="14"/>
      <c r="G923" s="14"/>
      <c r="H923" s="14"/>
      <c r="I923" s="14"/>
      <c r="J923" s="14"/>
      <c r="K923" s="15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38"/>
      <c r="F924" s="14"/>
      <c r="G924" s="14"/>
      <c r="H924" s="14"/>
      <c r="I924" s="14"/>
      <c r="J924" s="14"/>
      <c r="K924" s="15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38"/>
      <c r="F925" s="14"/>
      <c r="G925" s="14"/>
      <c r="H925" s="14"/>
      <c r="I925" s="14"/>
      <c r="J925" s="14"/>
      <c r="K925" s="15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38"/>
      <c r="F926" s="14"/>
      <c r="G926" s="14"/>
      <c r="H926" s="14"/>
      <c r="I926" s="14"/>
      <c r="J926" s="14"/>
      <c r="K926" s="15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38"/>
      <c r="F927" s="14"/>
      <c r="G927" s="14"/>
      <c r="H927" s="14"/>
      <c r="I927" s="14"/>
      <c r="J927" s="14"/>
      <c r="K927" s="15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38"/>
      <c r="F928" s="14"/>
      <c r="G928" s="14"/>
      <c r="H928" s="14"/>
      <c r="I928" s="14"/>
      <c r="J928" s="14"/>
      <c r="K928" s="15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38"/>
      <c r="F929" s="14"/>
      <c r="G929" s="14"/>
      <c r="H929" s="14"/>
      <c r="I929" s="14"/>
      <c r="J929" s="14"/>
      <c r="K929" s="15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38"/>
      <c r="F930" s="14"/>
      <c r="G930" s="14"/>
      <c r="H930" s="14"/>
      <c r="I930" s="14"/>
      <c r="J930" s="14"/>
      <c r="K930" s="15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38"/>
      <c r="F931" s="14"/>
      <c r="G931" s="14"/>
      <c r="H931" s="14"/>
      <c r="I931" s="14"/>
      <c r="J931" s="14"/>
      <c r="K931" s="15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38"/>
      <c r="F932" s="14"/>
      <c r="G932" s="14"/>
      <c r="H932" s="14"/>
      <c r="I932" s="14"/>
      <c r="J932" s="14"/>
      <c r="K932" s="15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38"/>
      <c r="F933" s="14"/>
      <c r="G933" s="14"/>
      <c r="H933" s="14"/>
      <c r="I933" s="14"/>
      <c r="J933" s="14"/>
      <c r="K933" s="15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38"/>
      <c r="F934" s="14"/>
      <c r="G934" s="14"/>
      <c r="H934" s="14"/>
      <c r="I934" s="14"/>
      <c r="J934" s="14"/>
      <c r="K934" s="15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38"/>
      <c r="F935" s="14"/>
      <c r="G935" s="14"/>
      <c r="H935" s="14"/>
      <c r="I935" s="14"/>
      <c r="J935" s="14"/>
      <c r="K935" s="15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38"/>
      <c r="F936" s="14"/>
      <c r="G936" s="14"/>
      <c r="H936" s="14"/>
      <c r="I936" s="14"/>
      <c r="J936" s="14"/>
      <c r="K936" s="15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38"/>
      <c r="F937" s="14"/>
      <c r="G937" s="14"/>
      <c r="H937" s="14"/>
      <c r="I937" s="14"/>
      <c r="J937" s="14"/>
      <c r="K937" s="15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38"/>
      <c r="F938" s="14"/>
      <c r="G938" s="14"/>
      <c r="H938" s="14"/>
      <c r="I938" s="14"/>
      <c r="J938" s="14"/>
      <c r="K938" s="15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38"/>
      <c r="F939" s="14"/>
      <c r="G939" s="14"/>
      <c r="H939" s="14"/>
      <c r="I939" s="14"/>
      <c r="J939" s="14"/>
      <c r="K939" s="15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38"/>
      <c r="F940" s="14"/>
      <c r="G940" s="14"/>
      <c r="H940" s="14"/>
      <c r="I940" s="14"/>
      <c r="J940" s="14"/>
      <c r="K940" s="15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38"/>
      <c r="F941" s="14"/>
      <c r="G941" s="14"/>
      <c r="H941" s="14"/>
      <c r="I941" s="14"/>
      <c r="J941" s="14"/>
      <c r="K941" s="15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38"/>
      <c r="F942" s="14"/>
      <c r="G942" s="14"/>
      <c r="H942" s="14"/>
      <c r="I942" s="14"/>
      <c r="J942" s="14"/>
      <c r="K942" s="15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38"/>
      <c r="F943" s="14"/>
      <c r="G943" s="14"/>
      <c r="H943" s="14"/>
      <c r="I943" s="14"/>
      <c r="J943" s="14"/>
      <c r="K943" s="15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38"/>
      <c r="F944" s="14"/>
      <c r="G944" s="14"/>
      <c r="H944" s="14"/>
      <c r="I944" s="14"/>
      <c r="J944" s="14"/>
      <c r="K944" s="15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38"/>
      <c r="F945" s="14"/>
      <c r="G945" s="14"/>
      <c r="H945" s="14"/>
      <c r="I945" s="14"/>
      <c r="J945" s="14"/>
      <c r="K945" s="15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38"/>
      <c r="F946" s="14"/>
      <c r="G946" s="14"/>
      <c r="H946" s="14"/>
      <c r="I946" s="14"/>
      <c r="J946" s="14"/>
      <c r="K946" s="15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38"/>
      <c r="F947" s="14"/>
      <c r="G947" s="14"/>
      <c r="H947" s="14"/>
      <c r="I947" s="14"/>
      <c r="J947" s="14"/>
      <c r="K947" s="15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38"/>
      <c r="F948" s="14"/>
      <c r="G948" s="14"/>
      <c r="H948" s="14"/>
      <c r="I948" s="14"/>
      <c r="J948" s="14"/>
      <c r="K948" s="15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38"/>
      <c r="F949" s="14"/>
      <c r="G949" s="14"/>
      <c r="H949" s="14"/>
      <c r="I949" s="14"/>
      <c r="J949" s="14"/>
      <c r="K949" s="15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38"/>
      <c r="F950" s="14"/>
      <c r="G950" s="14"/>
      <c r="H950" s="14"/>
      <c r="I950" s="14"/>
      <c r="J950" s="14"/>
      <c r="K950" s="15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38"/>
      <c r="F951" s="14"/>
      <c r="G951" s="14"/>
      <c r="H951" s="14"/>
      <c r="I951" s="14"/>
      <c r="J951" s="14"/>
      <c r="K951" s="15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38"/>
      <c r="F952" s="14"/>
      <c r="G952" s="14"/>
      <c r="H952" s="14"/>
      <c r="I952" s="14"/>
      <c r="J952" s="14"/>
      <c r="K952" s="15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38"/>
      <c r="F953" s="14"/>
      <c r="G953" s="14"/>
      <c r="H953" s="14"/>
      <c r="I953" s="14"/>
      <c r="J953" s="14"/>
      <c r="K953" s="15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38"/>
      <c r="F954" s="14"/>
      <c r="G954" s="14"/>
      <c r="H954" s="14"/>
      <c r="I954" s="14"/>
      <c r="J954" s="14"/>
      <c r="K954" s="15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38"/>
      <c r="F955" s="14"/>
      <c r="G955" s="14"/>
      <c r="H955" s="14"/>
      <c r="I955" s="14"/>
      <c r="J955" s="14"/>
      <c r="K955" s="15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38"/>
      <c r="F956" s="14"/>
      <c r="G956" s="14"/>
      <c r="H956" s="14"/>
      <c r="I956" s="14"/>
      <c r="J956" s="14"/>
      <c r="K956" s="15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38"/>
      <c r="F957" s="14"/>
      <c r="G957" s="14"/>
      <c r="H957" s="14"/>
      <c r="I957" s="14"/>
      <c r="J957" s="14"/>
      <c r="K957" s="15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38"/>
      <c r="F958" s="14"/>
      <c r="G958" s="14"/>
      <c r="H958" s="14"/>
      <c r="I958" s="14"/>
      <c r="J958" s="14"/>
      <c r="K958" s="15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38"/>
      <c r="F959" s="14"/>
      <c r="G959" s="14"/>
      <c r="H959" s="14"/>
      <c r="I959" s="14"/>
      <c r="J959" s="14"/>
      <c r="K959" s="15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38"/>
      <c r="F960" s="14"/>
      <c r="G960" s="14"/>
      <c r="H960" s="14"/>
      <c r="I960" s="14"/>
      <c r="J960" s="14"/>
      <c r="K960" s="15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38"/>
      <c r="F961" s="14"/>
      <c r="G961" s="14"/>
      <c r="H961" s="14"/>
      <c r="I961" s="14"/>
      <c r="J961" s="14"/>
      <c r="K961" s="15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38"/>
      <c r="F962" s="14"/>
      <c r="G962" s="14"/>
      <c r="H962" s="14"/>
      <c r="I962" s="14"/>
      <c r="J962" s="14"/>
      <c r="K962" s="15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38"/>
      <c r="F963" s="14"/>
      <c r="G963" s="14"/>
      <c r="H963" s="14"/>
      <c r="I963" s="14"/>
      <c r="J963" s="14"/>
      <c r="K963" s="15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38"/>
      <c r="F964" s="14"/>
      <c r="G964" s="14"/>
      <c r="H964" s="14"/>
      <c r="I964" s="14"/>
      <c r="J964" s="14"/>
      <c r="K964" s="15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38"/>
      <c r="F965" s="14"/>
      <c r="G965" s="14"/>
      <c r="H965" s="14"/>
      <c r="I965" s="14"/>
      <c r="J965" s="14"/>
      <c r="K965" s="15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38"/>
      <c r="F966" s="14"/>
      <c r="G966" s="14"/>
      <c r="H966" s="14"/>
      <c r="I966" s="14"/>
      <c r="J966" s="14"/>
      <c r="K966" s="15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38"/>
      <c r="F967" s="14"/>
      <c r="G967" s="14"/>
      <c r="H967" s="14"/>
      <c r="I967" s="14"/>
      <c r="J967" s="14"/>
      <c r="K967" s="15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38"/>
      <c r="F968" s="14"/>
      <c r="G968" s="14"/>
      <c r="H968" s="14"/>
      <c r="I968" s="14"/>
      <c r="J968" s="14"/>
      <c r="K968" s="15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38"/>
      <c r="F969" s="14"/>
      <c r="G969" s="14"/>
      <c r="H969" s="14"/>
      <c r="I969" s="14"/>
      <c r="J969" s="14"/>
      <c r="K969" s="15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38"/>
      <c r="F970" s="14"/>
      <c r="G970" s="14"/>
      <c r="H970" s="14"/>
      <c r="I970" s="14"/>
      <c r="J970" s="14"/>
      <c r="K970" s="15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38"/>
      <c r="F971" s="14"/>
      <c r="G971" s="14"/>
      <c r="H971" s="14"/>
      <c r="I971" s="14"/>
      <c r="J971" s="14"/>
      <c r="K971" s="15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38"/>
      <c r="F972" s="14"/>
      <c r="G972" s="14"/>
      <c r="H972" s="14"/>
      <c r="I972" s="14"/>
      <c r="J972" s="14"/>
      <c r="K972" s="15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38"/>
      <c r="F973" s="14"/>
      <c r="G973" s="14"/>
      <c r="H973" s="14"/>
      <c r="I973" s="14"/>
      <c r="J973" s="14"/>
      <c r="K973" s="15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38"/>
      <c r="F974" s="14"/>
      <c r="G974" s="14"/>
      <c r="H974" s="14"/>
      <c r="I974" s="14"/>
      <c r="J974" s="14"/>
      <c r="K974" s="15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38"/>
      <c r="F975" s="14"/>
      <c r="G975" s="14"/>
      <c r="H975" s="14"/>
      <c r="I975" s="14"/>
      <c r="J975" s="14"/>
      <c r="K975" s="15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38"/>
      <c r="F976" s="14"/>
      <c r="G976" s="14"/>
      <c r="H976" s="14"/>
      <c r="I976" s="14"/>
      <c r="J976" s="14"/>
      <c r="K976" s="15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38"/>
      <c r="F977" s="14"/>
      <c r="G977" s="14"/>
      <c r="H977" s="14"/>
      <c r="I977" s="14"/>
      <c r="J977" s="14"/>
      <c r="K977" s="15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38"/>
      <c r="F978" s="14"/>
      <c r="G978" s="14"/>
      <c r="H978" s="14"/>
      <c r="I978" s="14"/>
      <c r="J978" s="14"/>
      <c r="K978" s="15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38"/>
      <c r="F979" s="14"/>
      <c r="G979" s="14"/>
      <c r="H979" s="14"/>
      <c r="I979" s="14"/>
      <c r="J979" s="14"/>
      <c r="K979" s="15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38"/>
      <c r="F980" s="14"/>
      <c r="G980" s="14"/>
      <c r="H980" s="14"/>
      <c r="I980" s="14"/>
      <c r="J980" s="14"/>
      <c r="K980" s="15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38"/>
      <c r="F981" s="14"/>
      <c r="G981" s="14"/>
      <c r="H981" s="14"/>
      <c r="I981" s="14"/>
      <c r="J981" s="14"/>
      <c r="K981" s="15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38"/>
      <c r="F982" s="14"/>
      <c r="G982" s="14"/>
      <c r="H982" s="14"/>
      <c r="I982" s="14"/>
      <c r="J982" s="14"/>
      <c r="K982" s="15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38"/>
      <c r="F983" s="14"/>
      <c r="G983" s="14"/>
      <c r="H983" s="14"/>
      <c r="I983" s="14"/>
      <c r="J983" s="14"/>
      <c r="K983" s="15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38"/>
      <c r="F984" s="14"/>
      <c r="G984" s="14"/>
      <c r="H984" s="14"/>
      <c r="I984" s="14"/>
      <c r="J984" s="14"/>
      <c r="K984" s="15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38"/>
      <c r="F985" s="14"/>
      <c r="G985" s="14"/>
      <c r="H985" s="14"/>
      <c r="I985" s="14"/>
      <c r="J985" s="14"/>
      <c r="K985" s="15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38"/>
      <c r="F986" s="14"/>
      <c r="G986" s="14"/>
      <c r="H986" s="14"/>
      <c r="I986" s="14"/>
      <c r="J986" s="14"/>
      <c r="K986" s="15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38"/>
      <c r="F987" s="14"/>
      <c r="G987" s="14"/>
      <c r="H987" s="14"/>
      <c r="I987" s="14"/>
      <c r="J987" s="14"/>
      <c r="K987" s="15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38"/>
      <c r="F988" s="14"/>
      <c r="G988" s="14"/>
      <c r="H988" s="14"/>
      <c r="I988" s="14"/>
      <c r="J988" s="14"/>
      <c r="K988" s="15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38"/>
      <c r="F989" s="14"/>
      <c r="G989" s="14"/>
      <c r="H989" s="14"/>
      <c r="I989" s="14"/>
      <c r="J989" s="14"/>
      <c r="K989" s="15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38"/>
      <c r="F990" s="14"/>
      <c r="G990" s="14"/>
      <c r="H990" s="14"/>
      <c r="I990" s="14"/>
      <c r="J990" s="14"/>
      <c r="K990" s="15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38"/>
      <c r="F991" s="14"/>
      <c r="G991" s="14"/>
      <c r="H991" s="14"/>
      <c r="I991" s="14"/>
      <c r="J991" s="14"/>
      <c r="K991" s="15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38"/>
      <c r="F992" s="14"/>
      <c r="G992" s="14"/>
      <c r="H992" s="14"/>
      <c r="I992" s="14"/>
      <c r="J992" s="14"/>
      <c r="K992" s="15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38"/>
      <c r="F993" s="14"/>
      <c r="G993" s="14"/>
      <c r="H993" s="14"/>
      <c r="I993" s="14"/>
      <c r="J993" s="14"/>
      <c r="K993" s="15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38"/>
      <c r="F994" s="14"/>
      <c r="G994" s="14"/>
      <c r="H994" s="14"/>
      <c r="I994" s="14"/>
      <c r="J994" s="14"/>
      <c r="K994" s="15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38"/>
      <c r="F995" s="14"/>
      <c r="G995" s="14"/>
      <c r="H995" s="14"/>
      <c r="I995" s="14"/>
      <c r="J995" s="14"/>
      <c r="K995" s="15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38"/>
      <c r="F996" s="14"/>
      <c r="G996" s="14"/>
      <c r="H996" s="14"/>
      <c r="I996" s="14"/>
      <c r="J996" s="14"/>
      <c r="K996" s="15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38"/>
      <c r="F997" s="14"/>
      <c r="G997" s="14"/>
      <c r="H997" s="14"/>
      <c r="I997" s="14"/>
      <c r="J997" s="14"/>
      <c r="K997" s="15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38"/>
      <c r="F998" s="14"/>
      <c r="G998" s="14"/>
      <c r="H998" s="14"/>
      <c r="I998" s="14"/>
      <c r="J998" s="14"/>
      <c r="K998" s="15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38"/>
      <c r="F999" s="14"/>
      <c r="G999" s="14"/>
      <c r="H999" s="14"/>
      <c r="I999" s="14"/>
      <c r="J999" s="14"/>
      <c r="K999" s="15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38"/>
      <c r="F1000" s="14"/>
      <c r="G1000" s="14"/>
      <c r="H1000" s="14"/>
      <c r="I1000" s="14"/>
      <c r="J1000" s="14"/>
      <c r="K1000" s="15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38"/>
      <c r="F1001" s="14"/>
      <c r="G1001" s="14"/>
      <c r="H1001" s="14"/>
      <c r="I1001" s="14"/>
      <c r="J1001" s="14"/>
      <c r="K1001" s="15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mergeCells count="6">
    <mergeCell ref="A1:I1"/>
    <mergeCell ref="A2:A3"/>
    <mergeCell ref="B2:B3"/>
    <mergeCell ref="G2:H2"/>
    <mergeCell ref="I2:I3"/>
    <mergeCell ref="A26:B26"/>
  </mergeCells>
  <conditionalFormatting sqref="F9">
    <cfRule type="notContainsBlanks" dxfId="0" priority="1">
      <formula>LEN(TRIM(F9))&gt;0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6.88"/>
    <col customWidth="1" min="3" max="3" width="17.75"/>
    <col customWidth="1" min="4" max="4" width="23.5"/>
    <col customWidth="1" min="5" max="5" width="23.0"/>
    <col customWidth="1" min="6" max="6" width="21.38"/>
    <col customWidth="1" min="7" max="7" width="19.38"/>
    <col customWidth="1" min="8" max="8" width="24.38"/>
  </cols>
  <sheetData>
    <row r="1" ht="29.25" customHeight="1">
      <c r="A1" s="13" t="s">
        <v>49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36</v>
      </c>
      <c r="B2" s="16" t="s">
        <v>37</v>
      </c>
      <c r="C2" s="17" t="s">
        <v>38</v>
      </c>
      <c r="D2" s="17" t="s">
        <v>39</v>
      </c>
      <c r="E2" s="17" t="s">
        <v>40</v>
      </c>
      <c r="F2" s="17" t="s">
        <v>41</v>
      </c>
      <c r="G2" s="19" t="s">
        <v>42</v>
      </c>
      <c r="H2" s="20"/>
      <c r="I2" s="16" t="s">
        <v>43</v>
      </c>
      <c r="J2" s="16" t="s">
        <v>50</v>
      </c>
      <c r="K2" s="16" t="s">
        <v>51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/>
      <c r="B3" s="21"/>
      <c r="C3" s="17" t="s">
        <v>44</v>
      </c>
      <c r="D3" s="17" t="s">
        <v>44</v>
      </c>
      <c r="E3" s="17" t="s">
        <v>44</v>
      </c>
      <c r="F3" s="17" t="s">
        <v>44</v>
      </c>
      <c r="G3" s="17" t="s">
        <v>45</v>
      </c>
      <c r="H3" s="17" t="s">
        <v>46</v>
      </c>
      <c r="I3" s="21"/>
      <c r="J3" s="21"/>
      <c r="K3" s="2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>
        <v>1.0</v>
      </c>
      <c r="B4" s="17" t="s">
        <v>12</v>
      </c>
      <c r="C4" s="22">
        <v>3844427.0</v>
      </c>
      <c r="D4" s="23">
        <v>5242837.0</v>
      </c>
      <c r="E4" s="23">
        <v>3788303.0</v>
      </c>
      <c r="F4" s="23">
        <v>378998.27</v>
      </c>
      <c r="G4" s="9">
        <f t="shared" ref="G4:G25" si="1">D4-E4-F4</f>
        <v>1075535.73</v>
      </c>
      <c r="H4" s="9">
        <f t="shared" ref="H4:H26" si="2">(G4/D4)*100</f>
        <v>20.51438429</v>
      </c>
      <c r="I4" s="9"/>
      <c r="J4" s="25"/>
      <c r="K4" s="25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2.0</v>
      </c>
      <c r="B5" s="17" t="s">
        <v>13</v>
      </c>
      <c r="C5" s="26">
        <v>6415265.0</v>
      </c>
      <c r="D5" s="26">
        <v>6235435.0</v>
      </c>
      <c r="E5" s="26">
        <v>4699040.02</v>
      </c>
      <c r="F5" s="26">
        <v>101009.08</v>
      </c>
      <c r="G5" s="9">
        <f t="shared" si="1"/>
        <v>1435385.9</v>
      </c>
      <c r="H5" s="9">
        <f t="shared" si="2"/>
        <v>23.01981979</v>
      </c>
      <c r="I5" s="9"/>
      <c r="J5" s="25"/>
      <c r="K5" s="25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3.0</v>
      </c>
      <c r="B6" s="17" t="s">
        <v>14</v>
      </c>
      <c r="C6" s="26">
        <v>2528680.85</v>
      </c>
      <c r="D6" s="26">
        <v>1675103.85</v>
      </c>
      <c r="E6" s="26">
        <v>1248268.0</v>
      </c>
      <c r="F6" s="26">
        <v>51851.17</v>
      </c>
      <c r="G6" s="9">
        <f t="shared" si="1"/>
        <v>374984.68</v>
      </c>
      <c r="H6" s="9">
        <f t="shared" si="2"/>
        <v>22.38575716</v>
      </c>
      <c r="I6" s="9"/>
      <c r="J6" s="25"/>
      <c r="K6" s="25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>
        <v>4.0</v>
      </c>
      <c r="B7" s="17" t="s">
        <v>15</v>
      </c>
      <c r="C7" s="26">
        <v>2302731.0</v>
      </c>
      <c r="D7" s="26">
        <v>2076871.0</v>
      </c>
      <c r="E7" s="26">
        <v>1644539.0</v>
      </c>
      <c r="F7" s="26">
        <v>28120.0</v>
      </c>
      <c r="G7" s="9">
        <f t="shared" si="1"/>
        <v>404212</v>
      </c>
      <c r="H7" s="9">
        <f t="shared" si="2"/>
        <v>19.46254726</v>
      </c>
      <c r="I7" s="9"/>
      <c r="J7" s="25"/>
      <c r="K7" s="25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5.0</v>
      </c>
      <c r="B8" s="17" t="s">
        <v>16</v>
      </c>
      <c r="C8" s="26">
        <v>2636781.0</v>
      </c>
      <c r="D8" s="26">
        <v>2328154.1</v>
      </c>
      <c r="E8" s="26">
        <v>1551876.0</v>
      </c>
      <c r="F8" s="26">
        <v>165825.0</v>
      </c>
      <c r="G8" s="9">
        <f t="shared" si="1"/>
        <v>610453.1</v>
      </c>
      <c r="H8" s="9">
        <f t="shared" si="2"/>
        <v>26.22047656</v>
      </c>
      <c r="I8" s="9"/>
      <c r="J8" s="25"/>
      <c r="K8" s="25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>
        <v>6.0</v>
      </c>
      <c r="B9" s="17" t="s">
        <v>17</v>
      </c>
      <c r="C9" s="26">
        <v>2462553.0</v>
      </c>
      <c r="D9" s="26">
        <v>2437903.0</v>
      </c>
      <c r="E9" s="26">
        <v>1986241.0</v>
      </c>
      <c r="F9" s="26">
        <v>52319.36</v>
      </c>
      <c r="G9" s="9">
        <f t="shared" si="1"/>
        <v>399342.64</v>
      </c>
      <c r="H9" s="9">
        <f t="shared" si="2"/>
        <v>16.38057954</v>
      </c>
      <c r="I9" s="9"/>
      <c r="J9" s="25"/>
      <c r="K9" s="25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7.0</v>
      </c>
      <c r="B10" s="17" t="s">
        <v>18</v>
      </c>
      <c r="C10" s="26">
        <v>1064149.0</v>
      </c>
      <c r="D10" s="26">
        <v>1063774.0</v>
      </c>
      <c r="E10" s="26">
        <v>860921.0</v>
      </c>
      <c r="F10" s="26">
        <v>42938.73</v>
      </c>
      <c r="G10" s="9">
        <f t="shared" si="1"/>
        <v>159914.27</v>
      </c>
      <c r="H10" s="9">
        <f t="shared" si="2"/>
        <v>15.0327297</v>
      </c>
      <c r="I10" s="9"/>
      <c r="J10" s="25"/>
      <c r="K10" s="25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>
        <v>8.0</v>
      </c>
      <c r="B11" s="17" t="s">
        <v>19</v>
      </c>
      <c r="C11" s="26">
        <v>1293021.0</v>
      </c>
      <c r="D11" s="26">
        <v>1279509.0</v>
      </c>
      <c r="E11" s="26">
        <v>1104105.0</v>
      </c>
      <c r="F11" s="26">
        <v>47522.46</v>
      </c>
      <c r="G11" s="9">
        <f t="shared" si="1"/>
        <v>127881.54</v>
      </c>
      <c r="H11" s="9">
        <f t="shared" si="2"/>
        <v>9.994579171</v>
      </c>
      <c r="I11" s="9"/>
      <c r="J11" s="25"/>
      <c r="K11" s="25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>
        <v>9.0</v>
      </c>
      <c r="B12" s="17" t="s">
        <v>20</v>
      </c>
      <c r="C12" s="26">
        <v>2781017.0</v>
      </c>
      <c r="D12" s="26">
        <v>2470662.0</v>
      </c>
      <c r="E12" s="26">
        <v>1733568.0</v>
      </c>
      <c r="F12" s="26">
        <v>40000.0</v>
      </c>
      <c r="G12" s="9">
        <f t="shared" si="1"/>
        <v>697094</v>
      </c>
      <c r="H12" s="9">
        <f t="shared" si="2"/>
        <v>28.21486711</v>
      </c>
      <c r="I12" s="9"/>
      <c r="J12" s="25"/>
      <c r="K12" s="25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>
        <v>10.0</v>
      </c>
      <c r="B13" s="17" t="s">
        <v>52</v>
      </c>
      <c r="C13" s="26">
        <v>852216.02</v>
      </c>
      <c r="D13" s="26">
        <v>813495.0</v>
      </c>
      <c r="E13" s="26">
        <v>544398.0</v>
      </c>
      <c r="F13" s="26">
        <v>19053.0</v>
      </c>
      <c r="G13" s="9">
        <f t="shared" si="1"/>
        <v>250044</v>
      </c>
      <c r="H13" s="9">
        <f t="shared" si="2"/>
        <v>30.73700514</v>
      </c>
      <c r="I13" s="9"/>
      <c r="J13" s="25"/>
      <c r="K13" s="25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11.0</v>
      </c>
      <c r="B14" s="17" t="s">
        <v>22</v>
      </c>
      <c r="C14" s="26">
        <v>1990228.0</v>
      </c>
      <c r="D14" s="26">
        <v>1971139.0</v>
      </c>
      <c r="E14" s="26">
        <v>1611998.0</v>
      </c>
      <c r="F14" s="26">
        <v>111789.0</v>
      </c>
      <c r="G14" s="9">
        <f t="shared" si="1"/>
        <v>247352</v>
      </c>
      <c r="H14" s="9">
        <f t="shared" si="2"/>
        <v>12.54868378</v>
      </c>
      <c r="I14" s="9"/>
      <c r="J14" s="25"/>
      <c r="K14" s="25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12.0</v>
      </c>
      <c r="B15" s="17" t="s">
        <v>23</v>
      </c>
      <c r="C15" s="26">
        <v>3141363.0</v>
      </c>
      <c r="D15" s="26">
        <v>3520242.0</v>
      </c>
      <c r="E15" s="26">
        <v>2266685.0</v>
      </c>
      <c r="F15" s="26">
        <v>176297.0</v>
      </c>
      <c r="G15" s="9">
        <f t="shared" si="1"/>
        <v>1077260</v>
      </c>
      <c r="H15" s="9">
        <f t="shared" si="2"/>
        <v>30.60187339</v>
      </c>
      <c r="I15" s="9"/>
      <c r="J15" s="25"/>
      <c r="K15" s="25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7">
        <v>13.0</v>
      </c>
      <c r="B16" s="17" t="s">
        <v>24</v>
      </c>
      <c r="C16" s="26">
        <v>956022.0</v>
      </c>
      <c r="D16" s="26">
        <v>921627.0</v>
      </c>
      <c r="E16" s="26">
        <v>431039.0</v>
      </c>
      <c r="F16" s="26">
        <v>6708.0</v>
      </c>
      <c r="G16" s="9">
        <f t="shared" si="1"/>
        <v>483880</v>
      </c>
      <c r="H16" s="9">
        <f t="shared" si="2"/>
        <v>52.50280211</v>
      </c>
      <c r="I16" s="9"/>
      <c r="J16" s="25"/>
      <c r="K16" s="25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>
        <v>14.0</v>
      </c>
      <c r="B17" s="28" t="s">
        <v>25</v>
      </c>
      <c r="C17" s="29">
        <v>2003560.0</v>
      </c>
      <c r="D17" s="29">
        <v>1952440.0</v>
      </c>
      <c r="E17" s="29">
        <v>1283255.0</v>
      </c>
      <c r="F17" s="29">
        <v>75000.0</v>
      </c>
      <c r="G17" s="31">
        <f t="shared" si="1"/>
        <v>594185</v>
      </c>
      <c r="H17" s="31">
        <f t="shared" si="2"/>
        <v>30.43294544</v>
      </c>
      <c r="I17" s="9"/>
      <c r="J17" s="25"/>
      <c r="K17" s="25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>
        <v>15.0</v>
      </c>
      <c r="B18" s="17" t="s">
        <v>26</v>
      </c>
      <c r="C18" s="26">
        <v>528445.2</v>
      </c>
      <c r="D18" s="26">
        <v>497533.0</v>
      </c>
      <c r="E18" s="26">
        <v>254895.0</v>
      </c>
      <c r="F18" s="26">
        <v>722.68</v>
      </c>
      <c r="G18" s="9">
        <f t="shared" si="1"/>
        <v>241915.32</v>
      </c>
      <c r="H18" s="9">
        <f t="shared" si="2"/>
        <v>48.62296973</v>
      </c>
      <c r="I18" s="9"/>
      <c r="J18" s="25"/>
      <c r="K18" s="25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>
        <v>16.0</v>
      </c>
      <c r="B19" s="17" t="s">
        <v>27</v>
      </c>
      <c r="C19" s="26">
        <v>1710195.38</v>
      </c>
      <c r="D19" s="26">
        <v>1571278.0</v>
      </c>
      <c r="E19" s="26">
        <v>546532.0</v>
      </c>
      <c r="F19" s="26">
        <v>36900.0</v>
      </c>
      <c r="G19" s="9">
        <f t="shared" si="1"/>
        <v>987846</v>
      </c>
      <c r="H19" s="9">
        <f t="shared" si="2"/>
        <v>62.86895126</v>
      </c>
      <c r="I19" s="9"/>
      <c r="J19" s="25"/>
      <c r="K19" s="25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>
        <v>17.0</v>
      </c>
      <c r="B20" s="17" t="s">
        <v>28</v>
      </c>
      <c r="C20" s="26">
        <v>151044.48</v>
      </c>
      <c r="D20" s="26">
        <v>139287.0</v>
      </c>
      <c r="E20" s="26">
        <v>75707.0</v>
      </c>
      <c r="F20" s="26">
        <v>10000.0</v>
      </c>
      <c r="G20" s="9">
        <f t="shared" si="1"/>
        <v>53580</v>
      </c>
      <c r="H20" s="9">
        <f t="shared" si="2"/>
        <v>38.46733722</v>
      </c>
      <c r="I20" s="9"/>
      <c r="J20" s="25"/>
      <c r="K20" s="25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>
        <v>18.0</v>
      </c>
      <c r="B21" s="17" t="s">
        <v>29</v>
      </c>
      <c r="C21" s="26">
        <v>588516.0</v>
      </c>
      <c r="D21" s="26">
        <v>559659.02</v>
      </c>
      <c r="E21" s="26">
        <v>308532.0</v>
      </c>
      <c r="F21" s="26">
        <v>15927.0</v>
      </c>
      <c r="G21" s="9">
        <f t="shared" si="1"/>
        <v>235200.02</v>
      </c>
      <c r="H21" s="9">
        <f t="shared" si="2"/>
        <v>42.02559265</v>
      </c>
      <c r="I21" s="9"/>
      <c r="J21" s="25"/>
      <c r="K21" s="25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>
        <v>19.0</v>
      </c>
      <c r="B22" s="17" t="s">
        <v>30</v>
      </c>
      <c r="C22" s="26">
        <v>174144.0</v>
      </c>
      <c r="D22" s="26">
        <v>154181.0</v>
      </c>
      <c r="E22" s="26">
        <v>108635.0</v>
      </c>
      <c r="F22" s="26">
        <v>4284.0</v>
      </c>
      <c r="G22" s="9">
        <f t="shared" si="1"/>
        <v>41262</v>
      </c>
      <c r="H22" s="9">
        <f t="shared" si="2"/>
        <v>26.76205239</v>
      </c>
      <c r="I22" s="9"/>
      <c r="J22" s="25"/>
      <c r="K22" s="25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>
        <v>20.0</v>
      </c>
      <c r="B23" s="17" t="s">
        <v>31</v>
      </c>
      <c r="C23" s="26">
        <v>673003.0</v>
      </c>
      <c r="D23" s="26">
        <v>590209.0</v>
      </c>
      <c r="E23" s="26">
        <v>404384.0</v>
      </c>
      <c r="F23" s="26">
        <v>8656.0</v>
      </c>
      <c r="G23" s="9">
        <f t="shared" si="1"/>
        <v>177169</v>
      </c>
      <c r="H23" s="9">
        <f t="shared" si="2"/>
        <v>30.01801057</v>
      </c>
      <c r="I23" s="9"/>
      <c r="J23" s="25"/>
      <c r="K23" s="25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>
        <v>21.0</v>
      </c>
      <c r="B24" s="17" t="s">
        <v>32</v>
      </c>
      <c r="C24" s="26">
        <v>1606738.0</v>
      </c>
      <c r="D24" s="26">
        <v>1557945.0</v>
      </c>
      <c r="E24" s="26">
        <v>774974.0</v>
      </c>
      <c r="F24" s="26">
        <v>39874.0</v>
      </c>
      <c r="G24" s="9">
        <f t="shared" si="1"/>
        <v>743097</v>
      </c>
      <c r="H24" s="9">
        <f t="shared" si="2"/>
        <v>47.69725504</v>
      </c>
      <c r="I24" s="9"/>
      <c r="J24" s="25"/>
      <c r="K24" s="25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>
        <v>22.0</v>
      </c>
      <c r="B25" s="17" t="s">
        <v>33</v>
      </c>
      <c r="C25" s="26">
        <v>494228.0</v>
      </c>
      <c r="D25" s="26">
        <v>490228.0</v>
      </c>
      <c r="E25" s="26">
        <v>287008.0</v>
      </c>
      <c r="F25" s="26">
        <v>20000.0</v>
      </c>
      <c r="G25" s="9">
        <f t="shared" si="1"/>
        <v>183220</v>
      </c>
      <c r="H25" s="9">
        <f t="shared" si="2"/>
        <v>37.37444618</v>
      </c>
      <c r="I25" s="9"/>
      <c r="J25" s="25"/>
      <c r="K25" s="25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5" t="s">
        <v>48</v>
      </c>
      <c r="B26" s="20"/>
      <c r="C26" s="36">
        <f t="shared" ref="C26:G26" si="3">SUM(C4:C25)</f>
        <v>40198327.93</v>
      </c>
      <c r="D26" s="36">
        <f t="shared" si="3"/>
        <v>39549511.97</v>
      </c>
      <c r="E26" s="36">
        <f t="shared" si="3"/>
        <v>27514903.02</v>
      </c>
      <c r="F26" s="36">
        <f t="shared" si="3"/>
        <v>1433794.75</v>
      </c>
      <c r="G26" s="36">
        <f t="shared" si="3"/>
        <v>10600814.2</v>
      </c>
      <c r="H26" s="36">
        <f t="shared" si="2"/>
        <v>26.80390648</v>
      </c>
      <c r="I26" s="37"/>
      <c r="J26" s="25"/>
      <c r="K26" s="25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mergeCells count="8">
    <mergeCell ref="A1:I1"/>
    <mergeCell ref="A2:A3"/>
    <mergeCell ref="B2:B3"/>
    <mergeCell ref="G2:H2"/>
    <mergeCell ref="I2:I3"/>
    <mergeCell ref="J2:J3"/>
    <mergeCell ref="K2:K3"/>
    <mergeCell ref="A26:B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7.38"/>
    <col customWidth="1" min="3" max="3" width="17.75"/>
    <col customWidth="1" min="4" max="4" width="26.38"/>
    <col customWidth="1" min="5" max="5" width="17.75"/>
    <col customWidth="1" min="6" max="6" width="23.13"/>
    <col customWidth="1" min="7" max="7" width="22.75"/>
    <col customWidth="1" min="8" max="8" width="17.63"/>
  </cols>
  <sheetData>
    <row r="1" ht="29.25" customHeight="1">
      <c r="A1" s="13" t="s">
        <v>53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9.25" customHeight="1">
      <c r="A2" s="16" t="s">
        <v>36</v>
      </c>
      <c r="B2" s="16" t="s">
        <v>37</v>
      </c>
      <c r="C2" s="17" t="s">
        <v>38</v>
      </c>
      <c r="D2" s="17" t="s">
        <v>39</v>
      </c>
      <c r="E2" s="17" t="s">
        <v>40</v>
      </c>
      <c r="F2" s="17" t="s">
        <v>41</v>
      </c>
      <c r="G2" s="19" t="s">
        <v>42</v>
      </c>
      <c r="H2" s="20"/>
      <c r="I2" s="16" t="s">
        <v>43</v>
      </c>
      <c r="J2" s="16" t="s">
        <v>50</v>
      </c>
      <c r="K2" s="16" t="s">
        <v>51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/>
      <c r="B3" s="21"/>
      <c r="C3" s="17" t="s">
        <v>44</v>
      </c>
      <c r="D3" s="17" t="s">
        <v>44</v>
      </c>
      <c r="E3" s="17" t="s">
        <v>44</v>
      </c>
      <c r="F3" s="17" t="s">
        <v>44</v>
      </c>
      <c r="G3" s="17" t="s">
        <v>45</v>
      </c>
      <c r="H3" s="17" t="s">
        <v>46</v>
      </c>
      <c r="I3" s="21"/>
      <c r="J3" s="21"/>
      <c r="K3" s="2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>
        <v>1.0</v>
      </c>
      <c r="B4" s="17" t="s">
        <v>12</v>
      </c>
      <c r="C4" s="22">
        <v>4619902.0</v>
      </c>
      <c r="D4" s="23">
        <v>5311816.0</v>
      </c>
      <c r="E4" s="26">
        <v>3957284.0</v>
      </c>
      <c r="F4" s="23">
        <v>177837.88</v>
      </c>
      <c r="G4" s="9">
        <f t="shared" ref="G4:G25" si="1">D4-E4-F4</f>
        <v>1176694.12</v>
      </c>
      <c r="H4" s="9">
        <f t="shared" ref="H4:H26" si="2">(G4/D4)*100</f>
        <v>22.15238856</v>
      </c>
      <c r="I4" s="25"/>
      <c r="J4" s="25"/>
      <c r="K4" s="25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2.0</v>
      </c>
      <c r="B5" s="17" t="s">
        <v>13</v>
      </c>
      <c r="C5" s="26">
        <v>6660498.0</v>
      </c>
      <c r="D5" s="26">
        <v>6326117.0</v>
      </c>
      <c r="E5" s="26">
        <v>5217576.04</v>
      </c>
      <c r="F5" s="26">
        <v>103182.29</v>
      </c>
      <c r="G5" s="9">
        <f t="shared" si="1"/>
        <v>1005358.67</v>
      </c>
      <c r="H5" s="9">
        <f t="shared" si="2"/>
        <v>15.89219216</v>
      </c>
      <c r="I5" s="25"/>
      <c r="J5" s="25"/>
      <c r="K5" s="25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3.0</v>
      </c>
      <c r="B6" s="17" t="s">
        <v>14</v>
      </c>
      <c r="C6" s="26">
        <v>2285214.35</v>
      </c>
      <c r="D6" s="26">
        <v>1864825.85</v>
      </c>
      <c r="E6" s="26">
        <v>1282695.0</v>
      </c>
      <c r="F6" s="26">
        <v>55413.1</v>
      </c>
      <c r="G6" s="9">
        <f t="shared" si="1"/>
        <v>526717.75</v>
      </c>
      <c r="H6" s="9">
        <f t="shared" si="2"/>
        <v>28.24487606</v>
      </c>
      <c r="I6" s="25"/>
      <c r="J6" s="25"/>
      <c r="K6" s="25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>
        <v>4.0</v>
      </c>
      <c r="B7" s="17" t="s">
        <v>15</v>
      </c>
      <c r="C7" s="26">
        <v>2277134.0</v>
      </c>
      <c r="D7" s="26">
        <v>2219498.0</v>
      </c>
      <c r="E7" s="26">
        <v>1650947.5</v>
      </c>
      <c r="F7" s="26">
        <v>29981.0</v>
      </c>
      <c r="G7" s="9">
        <f t="shared" si="1"/>
        <v>538569.5</v>
      </c>
      <c r="H7" s="9">
        <f t="shared" si="2"/>
        <v>24.26537442</v>
      </c>
      <c r="I7" s="25"/>
      <c r="J7" s="25"/>
      <c r="K7" s="25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5.0</v>
      </c>
      <c r="B8" s="17" t="s">
        <v>16</v>
      </c>
      <c r="C8" s="26">
        <v>2571127.0</v>
      </c>
      <c r="D8" s="26">
        <v>2482411.34</v>
      </c>
      <c r="E8" s="26">
        <v>1650290.0</v>
      </c>
      <c r="F8" s="26">
        <v>198000.0</v>
      </c>
      <c r="G8" s="9">
        <f t="shared" si="1"/>
        <v>634121.34</v>
      </c>
      <c r="H8" s="9">
        <f t="shared" si="2"/>
        <v>25.54457151</v>
      </c>
      <c r="I8" s="25"/>
      <c r="J8" s="25"/>
      <c r="K8" s="25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>
        <v>6.0</v>
      </c>
      <c r="B9" s="17" t="s">
        <v>17</v>
      </c>
      <c r="C9" s="26">
        <v>2502732.0</v>
      </c>
      <c r="D9" s="26">
        <v>2441961.0</v>
      </c>
      <c r="E9" s="26">
        <v>2012399.0</v>
      </c>
      <c r="F9" s="26">
        <v>50185.7</v>
      </c>
      <c r="G9" s="9">
        <f t="shared" si="1"/>
        <v>379376.3</v>
      </c>
      <c r="H9" s="9">
        <f t="shared" si="2"/>
        <v>15.53572313</v>
      </c>
      <c r="I9" s="25"/>
      <c r="J9" s="25"/>
      <c r="K9" s="25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7.0</v>
      </c>
      <c r="B10" s="17" t="s">
        <v>18</v>
      </c>
      <c r="C10" s="26">
        <v>1114734.0</v>
      </c>
      <c r="D10" s="26">
        <v>1109607.0</v>
      </c>
      <c r="E10" s="26">
        <v>903347.0</v>
      </c>
      <c r="F10" s="26">
        <v>43819.21</v>
      </c>
      <c r="G10" s="9">
        <f t="shared" si="1"/>
        <v>162440.79</v>
      </c>
      <c r="H10" s="9">
        <f t="shared" si="2"/>
        <v>14.63948858</v>
      </c>
      <c r="I10" s="25"/>
      <c r="J10" s="25"/>
      <c r="K10" s="25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>
        <v>8.0</v>
      </c>
      <c r="B11" s="17" t="s">
        <v>19</v>
      </c>
      <c r="C11" s="26">
        <v>1317557.0</v>
      </c>
      <c r="D11" s="26">
        <v>1297537.0</v>
      </c>
      <c r="E11" s="26">
        <v>1100943.0</v>
      </c>
      <c r="F11" s="26">
        <v>43202.98</v>
      </c>
      <c r="G11" s="9">
        <f t="shared" si="1"/>
        <v>153391.02</v>
      </c>
      <c r="H11" s="9">
        <f t="shared" si="2"/>
        <v>11.82170682</v>
      </c>
      <c r="I11" s="25"/>
      <c r="J11" s="25"/>
      <c r="K11" s="25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>
        <v>9.0</v>
      </c>
      <c r="B12" s="17" t="s">
        <v>20</v>
      </c>
      <c r="C12" s="26">
        <v>2772984.1</v>
      </c>
      <c r="D12" s="26">
        <v>2460097.1</v>
      </c>
      <c r="E12" s="26">
        <v>1748063.0</v>
      </c>
      <c r="F12" s="26">
        <v>40000.0</v>
      </c>
      <c r="G12" s="9">
        <f t="shared" si="1"/>
        <v>672034.1</v>
      </c>
      <c r="H12" s="9">
        <f t="shared" si="2"/>
        <v>27.31738109</v>
      </c>
      <c r="I12" s="25"/>
      <c r="J12" s="25"/>
      <c r="K12" s="25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>
        <v>10.0</v>
      </c>
      <c r="B13" s="17" t="s">
        <v>21</v>
      </c>
      <c r="C13" s="26">
        <v>871661.43</v>
      </c>
      <c r="D13" s="26">
        <v>830115.0</v>
      </c>
      <c r="E13" s="26">
        <v>557524.0</v>
      </c>
      <c r="F13" s="26">
        <v>23056.0</v>
      </c>
      <c r="G13" s="9">
        <f t="shared" si="1"/>
        <v>249535</v>
      </c>
      <c r="H13" s="9">
        <f t="shared" si="2"/>
        <v>30.06029285</v>
      </c>
      <c r="I13" s="25"/>
      <c r="J13" s="25"/>
      <c r="K13" s="25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11.0</v>
      </c>
      <c r="B14" s="17" t="s">
        <v>22</v>
      </c>
      <c r="C14" s="26">
        <v>2075219.0</v>
      </c>
      <c r="D14" s="26">
        <v>2055772.0</v>
      </c>
      <c r="E14" s="26">
        <v>1721909.0</v>
      </c>
      <c r="F14" s="26">
        <v>100968.0</v>
      </c>
      <c r="G14" s="9">
        <f t="shared" si="1"/>
        <v>232895</v>
      </c>
      <c r="H14" s="9">
        <f t="shared" si="2"/>
        <v>11.32883413</v>
      </c>
      <c r="I14" s="25"/>
      <c r="J14" s="25"/>
      <c r="K14" s="25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12.0</v>
      </c>
      <c r="B15" s="17" t="s">
        <v>23</v>
      </c>
      <c r="C15" s="26">
        <v>3316918.0</v>
      </c>
      <c r="D15" s="26">
        <v>3740671.0</v>
      </c>
      <c r="E15" s="26">
        <v>2369933.0</v>
      </c>
      <c r="F15" s="26">
        <v>173607.0</v>
      </c>
      <c r="G15" s="9">
        <f t="shared" si="1"/>
        <v>1197131</v>
      </c>
      <c r="H15" s="9">
        <f t="shared" si="2"/>
        <v>32.00310853</v>
      </c>
      <c r="I15" s="25"/>
      <c r="J15" s="25"/>
      <c r="K15" s="25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7">
        <v>13.0</v>
      </c>
      <c r="B16" s="17" t="s">
        <v>24</v>
      </c>
      <c r="C16" s="26">
        <v>1031919.0</v>
      </c>
      <c r="D16" s="26">
        <v>961753.0</v>
      </c>
      <c r="E16" s="26">
        <v>491954.0</v>
      </c>
      <c r="F16" s="26">
        <v>6812.0</v>
      </c>
      <c r="G16" s="9">
        <f t="shared" si="1"/>
        <v>462987</v>
      </c>
      <c r="H16" s="9">
        <f t="shared" si="2"/>
        <v>48.13990702</v>
      </c>
      <c r="I16" s="25"/>
      <c r="J16" s="25"/>
      <c r="K16" s="25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>
        <v>14.0</v>
      </c>
      <c r="B17" s="28" t="s">
        <v>25</v>
      </c>
      <c r="C17" s="29">
        <v>2288007.0</v>
      </c>
      <c r="D17" s="29">
        <v>2022427.0</v>
      </c>
      <c r="E17" s="29">
        <v>1383784.0</v>
      </c>
      <c r="F17" s="29">
        <v>74000.0</v>
      </c>
      <c r="G17" s="31">
        <f t="shared" si="1"/>
        <v>564643</v>
      </c>
      <c r="H17" s="31">
        <f t="shared" si="2"/>
        <v>27.9190794</v>
      </c>
      <c r="I17" s="25"/>
      <c r="J17" s="25"/>
      <c r="K17" s="25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>
        <v>15.0</v>
      </c>
      <c r="B18" s="17" t="s">
        <v>26</v>
      </c>
      <c r="C18" s="26">
        <v>586130.86</v>
      </c>
      <c r="D18" s="26">
        <v>518477.0</v>
      </c>
      <c r="E18" s="26">
        <v>278016.0</v>
      </c>
      <c r="F18" s="26">
        <v>476.84</v>
      </c>
      <c r="G18" s="9">
        <f t="shared" si="1"/>
        <v>239984.16</v>
      </c>
      <c r="H18" s="9">
        <f t="shared" si="2"/>
        <v>46.28636564</v>
      </c>
      <c r="I18" s="25"/>
      <c r="J18" s="25"/>
      <c r="K18" s="25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>
        <v>16.0</v>
      </c>
      <c r="B19" s="17" t="s">
        <v>27</v>
      </c>
      <c r="C19" s="26">
        <v>1760667.86</v>
      </c>
      <c r="D19" s="26">
        <v>1629100.0</v>
      </c>
      <c r="E19" s="26">
        <v>573999.0</v>
      </c>
      <c r="F19" s="26">
        <v>37648.0</v>
      </c>
      <c r="G19" s="9">
        <f t="shared" si="1"/>
        <v>1017453</v>
      </c>
      <c r="H19" s="9">
        <f t="shared" si="2"/>
        <v>62.45491376</v>
      </c>
      <c r="I19" s="25"/>
      <c r="J19" s="25"/>
      <c r="K19" s="25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>
        <v>17.0</v>
      </c>
      <c r="B20" s="17" t="s">
        <v>28</v>
      </c>
      <c r="C20" s="26">
        <v>152754.24</v>
      </c>
      <c r="D20" s="26">
        <v>147798.0</v>
      </c>
      <c r="E20" s="26">
        <v>80370.0</v>
      </c>
      <c r="F20" s="26">
        <v>10000.0</v>
      </c>
      <c r="G20" s="9">
        <f t="shared" si="1"/>
        <v>57428</v>
      </c>
      <c r="H20" s="9">
        <f t="shared" si="2"/>
        <v>38.85573553</v>
      </c>
      <c r="I20" s="25"/>
      <c r="J20" s="25"/>
      <c r="K20" s="25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>
        <v>18.0</v>
      </c>
      <c r="B21" s="17" t="s">
        <v>29</v>
      </c>
      <c r="C21" s="26">
        <v>601670.84</v>
      </c>
      <c r="D21" s="26">
        <v>580655.76</v>
      </c>
      <c r="E21" s="26">
        <v>320522.0</v>
      </c>
      <c r="F21" s="26">
        <v>15932.0</v>
      </c>
      <c r="G21" s="9">
        <f t="shared" si="1"/>
        <v>244201.76</v>
      </c>
      <c r="H21" s="9">
        <f t="shared" si="2"/>
        <v>42.05620211</v>
      </c>
      <c r="I21" s="25"/>
      <c r="J21" s="25"/>
      <c r="K21" s="25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>
        <v>19.0</v>
      </c>
      <c r="B22" s="17" t="s">
        <v>30</v>
      </c>
      <c r="C22" s="26">
        <v>183923.0</v>
      </c>
      <c r="D22" s="26">
        <v>144547.0</v>
      </c>
      <c r="E22" s="26">
        <v>119093.0</v>
      </c>
      <c r="F22" s="26">
        <v>4900.0</v>
      </c>
      <c r="G22" s="9">
        <f t="shared" si="1"/>
        <v>20554</v>
      </c>
      <c r="H22" s="9">
        <f t="shared" si="2"/>
        <v>14.21959639</v>
      </c>
      <c r="I22" s="25"/>
      <c r="J22" s="25"/>
      <c r="K22" s="25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>
        <v>20.0</v>
      </c>
      <c r="B23" s="17" t="s">
        <v>31</v>
      </c>
      <c r="C23" s="26">
        <v>688238.0</v>
      </c>
      <c r="D23" s="26">
        <v>643545.0</v>
      </c>
      <c r="E23" s="26">
        <v>413518.0</v>
      </c>
      <c r="F23" s="26">
        <v>8450.0</v>
      </c>
      <c r="G23" s="9">
        <f t="shared" si="1"/>
        <v>221577</v>
      </c>
      <c r="H23" s="9">
        <f t="shared" si="2"/>
        <v>34.43069249</v>
      </c>
      <c r="I23" s="25"/>
      <c r="J23" s="25"/>
      <c r="K23" s="25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>
        <v>21.0</v>
      </c>
      <c r="B24" s="17" t="s">
        <v>32</v>
      </c>
      <c r="C24" s="26">
        <v>1660929.0</v>
      </c>
      <c r="D24" s="26">
        <v>1567383.0</v>
      </c>
      <c r="E24" s="26">
        <v>812159.1</v>
      </c>
      <c r="F24" s="26">
        <v>44500.0</v>
      </c>
      <c r="G24" s="9">
        <f t="shared" si="1"/>
        <v>710723.9</v>
      </c>
      <c r="H24" s="9">
        <f t="shared" si="2"/>
        <v>45.34462221</v>
      </c>
      <c r="I24" s="25"/>
      <c r="J24" s="25"/>
      <c r="K24" s="25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>
        <v>22.0</v>
      </c>
      <c r="B25" s="17" t="s">
        <v>33</v>
      </c>
      <c r="C25" s="26">
        <v>503026.0</v>
      </c>
      <c r="D25" s="26">
        <v>503026.0</v>
      </c>
      <c r="E25" s="26">
        <v>298196.0</v>
      </c>
      <c r="F25" s="26">
        <v>20000.0</v>
      </c>
      <c r="G25" s="9">
        <f t="shared" si="1"/>
        <v>184830</v>
      </c>
      <c r="H25" s="9">
        <f t="shared" si="2"/>
        <v>36.74362757</v>
      </c>
      <c r="I25" s="25"/>
      <c r="J25" s="25"/>
      <c r="K25" s="25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9" t="s">
        <v>48</v>
      </c>
      <c r="B26" s="20"/>
      <c r="C26" s="9">
        <f t="shared" ref="C26:G26" si="3">SUM(C4:C25)</f>
        <v>41842946.68</v>
      </c>
      <c r="D26" s="9">
        <f t="shared" si="3"/>
        <v>40859140.05</v>
      </c>
      <c r="E26" s="9">
        <f t="shared" si="3"/>
        <v>28944521.64</v>
      </c>
      <c r="F26" s="9">
        <f t="shared" si="3"/>
        <v>1261972</v>
      </c>
      <c r="G26" s="9">
        <f t="shared" si="3"/>
        <v>10652646.41</v>
      </c>
      <c r="H26" s="9">
        <f t="shared" si="2"/>
        <v>26.07163635</v>
      </c>
      <c r="I26" s="25"/>
      <c r="J26" s="25"/>
      <c r="K26" s="25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mergeCells count="8">
    <mergeCell ref="A1:I1"/>
    <mergeCell ref="A2:A3"/>
    <mergeCell ref="B2:B3"/>
    <mergeCell ref="G2:H2"/>
    <mergeCell ref="I2:I3"/>
    <mergeCell ref="J2:J3"/>
    <mergeCell ref="K2:K3"/>
    <mergeCell ref="A26:B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3" max="6" width="17.75"/>
    <col customWidth="1" min="8" max="8" width="17.13"/>
    <col customWidth="1" min="13" max="13" width="17.0"/>
    <col customWidth="1" min="14" max="14" width="19.5"/>
  </cols>
  <sheetData>
    <row r="1" ht="29.25" customHeight="1">
      <c r="A1" s="13" t="s">
        <v>54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9.25" customHeight="1">
      <c r="A2" s="16" t="s">
        <v>36</v>
      </c>
      <c r="B2" s="16" t="s">
        <v>37</v>
      </c>
      <c r="C2" s="17" t="s">
        <v>38</v>
      </c>
      <c r="D2" s="17" t="s">
        <v>39</v>
      </c>
      <c r="E2" s="17" t="s">
        <v>40</v>
      </c>
      <c r="F2" s="17" t="s">
        <v>41</v>
      </c>
      <c r="G2" s="19" t="s">
        <v>42</v>
      </c>
      <c r="H2" s="20"/>
      <c r="I2" s="16" t="s">
        <v>43</v>
      </c>
      <c r="J2" s="16" t="s">
        <v>50</v>
      </c>
      <c r="K2" s="16" t="s">
        <v>51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/>
      <c r="B3" s="21"/>
      <c r="C3" s="17" t="s">
        <v>44</v>
      </c>
      <c r="D3" s="17" t="s">
        <v>44</v>
      </c>
      <c r="E3" s="17" t="s">
        <v>44</v>
      </c>
      <c r="F3" s="17" t="s">
        <v>44</v>
      </c>
      <c r="G3" s="17" t="s">
        <v>45</v>
      </c>
      <c r="H3" s="17" t="s">
        <v>46</v>
      </c>
      <c r="I3" s="21"/>
      <c r="J3" s="21"/>
      <c r="K3" s="2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>
        <v>1.0</v>
      </c>
      <c r="B4" s="17" t="s">
        <v>12</v>
      </c>
      <c r="C4" s="26">
        <v>4374144.0</v>
      </c>
      <c r="D4" s="26">
        <v>5071114.5</v>
      </c>
      <c r="E4" s="26">
        <v>3823833.0</v>
      </c>
      <c r="F4" s="26">
        <v>105596.09</v>
      </c>
      <c r="G4" s="9">
        <f t="shared" ref="G4:G25" si="1">D4-E4-F4</f>
        <v>1141685.41</v>
      </c>
      <c r="H4" s="9">
        <f t="shared" ref="H4:H26" si="2">(G4/D4)*100</f>
        <v>22.51350093</v>
      </c>
      <c r="I4" s="9"/>
      <c r="J4" s="25"/>
      <c r="K4" s="25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2.0</v>
      </c>
      <c r="B5" s="17" t="s">
        <v>13</v>
      </c>
      <c r="C5" s="26">
        <v>6907950.0</v>
      </c>
      <c r="D5" s="26">
        <v>6693203.0</v>
      </c>
      <c r="E5" s="26">
        <v>4950343.03</v>
      </c>
      <c r="F5" s="26">
        <v>121489.95</v>
      </c>
      <c r="G5" s="9">
        <f t="shared" si="1"/>
        <v>1621370.02</v>
      </c>
      <c r="H5" s="9">
        <f t="shared" si="2"/>
        <v>24.22412737</v>
      </c>
      <c r="I5" s="9"/>
      <c r="J5" s="25"/>
      <c r="K5" s="25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3.0</v>
      </c>
      <c r="B6" s="17" t="s">
        <v>14</v>
      </c>
      <c r="C6" s="26">
        <v>2433352.0</v>
      </c>
      <c r="D6" s="26">
        <v>1793243.16</v>
      </c>
      <c r="E6" s="26">
        <v>1277163.0</v>
      </c>
      <c r="F6" s="26">
        <v>56205.4</v>
      </c>
      <c r="G6" s="9">
        <f t="shared" si="1"/>
        <v>459874.76</v>
      </c>
      <c r="H6" s="9">
        <f t="shared" si="2"/>
        <v>25.64486347</v>
      </c>
      <c r="I6" s="9"/>
      <c r="J6" s="25"/>
      <c r="K6" s="25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>
        <v>4.0</v>
      </c>
      <c r="B7" s="17" t="s">
        <v>15</v>
      </c>
      <c r="C7" s="26">
        <v>2337157.0</v>
      </c>
      <c r="D7" s="26">
        <v>2249758.0</v>
      </c>
      <c r="E7" s="26">
        <v>1723472.5</v>
      </c>
      <c r="F7" s="26">
        <v>68608.0</v>
      </c>
      <c r="G7" s="9">
        <f t="shared" si="1"/>
        <v>457677.5</v>
      </c>
      <c r="H7" s="9">
        <f t="shared" si="2"/>
        <v>20.34341027</v>
      </c>
      <c r="I7" s="9"/>
      <c r="J7" s="25"/>
      <c r="K7" s="25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5.0</v>
      </c>
      <c r="B8" s="17" t="s">
        <v>16</v>
      </c>
      <c r="C8" s="26">
        <v>2600390.0</v>
      </c>
      <c r="D8" s="26">
        <v>2458999.56</v>
      </c>
      <c r="E8" s="26">
        <v>1583339.0</v>
      </c>
      <c r="F8" s="26">
        <v>180250.0</v>
      </c>
      <c r="G8" s="9">
        <f t="shared" si="1"/>
        <v>695410.56</v>
      </c>
      <c r="H8" s="9">
        <f t="shared" si="2"/>
        <v>28.28022304</v>
      </c>
      <c r="I8" s="9"/>
      <c r="J8" s="25"/>
      <c r="K8" s="25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>
        <v>6.0</v>
      </c>
      <c r="B9" s="17" t="s">
        <v>17</v>
      </c>
      <c r="C9" s="26">
        <v>2549462.0</v>
      </c>
      <c r="D9" s="26">
        <v>2481043.0</v>
      </c>
      <c r="E9" s="26">
        <v>1970317.0</v>
      </c>
      <c r="F9" s="26">
        <v>77589.89</v>
      </c>
      <c r="G9" s="9">
        <f t="shared" si="1"/>
        <v>433136.11</v>
      </c>
      <c r="H9" s="9">
        <f t="shared" si="2"/>
        <v>17.45782358</v>
      </c>
      <c r="I9" s="9"/>
      <c r="J9" s="25"/>
      <c r="K9" s="25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7.0</v>
      </c>
      <c r="B10" s="17" t="s">
        <v>18</v>
      </c>
      <c r="C10" s="26">
        <v>1049191.3</v>
      </c>
      <c r="D10" s="26">
        <v>1044507.0</v>
      </c>
      <c r="E10" s="26">
        <v>871730.0</v>
      </c>
      <c r="F10" s="26">
        <v>44048.42</v>
      </c>
      <c r="G10" s="9">
        <f t="shared" si="1"/>
        <v>128728.58</v>
      </c>
      <c r="H10" s="9">
        <f t="shared" si="2"/>
        <v>12.32433866</v>
      </c>
      <c r="I10" s="9"/>
      <c r="J10" s="25"/>
      <c r="K10" s="25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>
        <v>8.0</v>
      </c>
      <c r="B11" s="17" t="s">
        <v>19</v>
      </c>
      <c r="C11" s="26">
        <v>1353852.0</v>
      </c>
      <c r="D11" s="26">
        <v>1325317.0</v>
      </c>
      <c r="E11" s="26">
        <v>1130888.0</v>
      </c>
      <c r="F11" s="26">
        <v>45751.43</v>
      </c>
      <c r="G11" s="9">
        <f t="shared" si="1"/>
        <v>148677.57</v>
      </c>
      <c r="H11" s="9">
        <f t="shared" si="2"/>
        <v>11.21826476</v>
      </c>
      <c r="I11" s="9"/>
      <c r="J11" s="25"/>
      <c r="K11" s="25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>
        <v>9.0</v>
      </c>
      <c r="B12" s="17" t="s">
        <v>20</v>
      </c>
      <c r="C12" s="26">
        <v>2768546.6</v>
      </c>
      <c r="D12" s="26">
        <v>2481947.6</v>
      </c>
      <c r="E12" s="26">
        <v>1799282.0</v>
      </c>
      <c r="F12" s="26">
        <v>40000.0</v>
      </c>
      <c r="G12" s="9">
        <f t="shared" si="1"/>
        <v>642665.6</v>
      </c>
      <c r="H12" s="9">
        <f t="shared" si="2"/>
        <v>25.89360065</v>
      </c>
      <c r="I12" s="9"/>
      <c r="J12" s="25"/>
      <c r="K12" s="25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>
        <v>10.0</v>
      </c>
      <c r="B13" s="17" t="s">
        <v>52</v>
      </c>
      <c r="C13" s="26">
        <v>981625.2</v>
      </c>
      <c r="D13" s="26">
        <v>942905.0</v>
      </c>
      <c r="E13" s="26">
        <v>574951.0</v>
      </c>
      <c r="F13" s="26">
        <v>18035.0</v>
      </c>
      <c r="G13" s="9">
        <f t="shared" si="1"/>
        <v>349919</v>
      </c>
      <c r="H13" s="9">
        <f t="shared" si="2"/>
        <v>37.11073756</v>
      </c>
      <c r="I13" s="9"/>
      <c r="J13" s="25"/>
      <c r="K13" s="25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11.0</v>
      </c>
      <c r="B14" s="17" t="s">
        <v>22</v>
      </c>
      <c r="C14" s="26">
        <v>2100163.0</v>
      </c>
      <c r="D14" s="26">
        <v>2080592.0</v>
      </c>
      <c r="E14" s="26">
        <v>1642925.0</v>
      </c>
      <c r="F14" s="26">
        <v>112686.0</v>
      </c>
      <c r="G14" s="9">
        <f t="shared" si="1"/>
        <v>324981</v>
      </c>
      <c r="H14" s="9">
        <f t="shared" si="2"/>
        <v>15.61964095</v>
      </c>
      <c r="I14" s="9"/>
      <c r="J14" s="25"/>
      <c r="K14" s="25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12.0</v>
      </c>
      <c r="B15" s="17" t="s">
        <v>23</v>
      </c>
      <c r="C15" s="26">
        <v>3331820.0</v>
      </c>
      <c r="D15" s="26">
        <v>3655802.0</v>
      </c>
      <c r="E15" s="26">
        <v>2412173.0</v>
      </c>
      <c r="F15" s="26">
        <v>125136.0</v>
      </c>
      <c r="G15" s="9">
        <f t="shared" si="1"/>
        <v>1118493</v>
      </c>
      <c r="H15" s="9">
        <f t="shared" si="2"/>
        <v>30.59501034</v>
      </c>
      <c r="I15" s="9"/>
      <c r="J15" s="25"/>
      <c r="K15" s="25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7">
        <v>13.0</v>
      </c>
      <c r="B16" s="17" t="s">
        <v>24</v>
      </c>
      <c r="C16" s="26">
        <v>1051590.0</v>
      </c>
      <c r="D16" s="26">
        <v>972467.0</v>
      </c>
      <c r="E16" s="26">
        <v>504386.0</v>
      </c>
      <c r="F16" s="26">
        <v>6850.0</v>
      </c>
      <c r="G16" s="9">
        <f t="shared" si="1"/>
        <v>461231</v>
      </c>
      <c r="H16" s="9">
        <f t="shared" si="2"/>
        <v>47.4289616</v>
      </c>
      <c r="I16" s="9"/>
      <c r="J16" s="25"/>
      <c r="K16" s="25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>
        <v>14.0</v>
      </c>
      <c r="B17" s="17" t="s">
        <v>25</v>
      </c>
      <c r="C17" s="26">
        <v>2128031.0</v>
      </c>
      <c r="D17" s="26">
        <v>2008909.0</v>
      </c>
      <c r="E17" s="26">
        <v>1328209.0</v>
      </c>
      <c r="F17" s="26">
        <v>43926.0</v>
      </c>
      <c r="G17" s="9">
        <f t="shared" si="1"/>
        <v>636774</v>
      </c>
      <c r="H17" s="9">
        <f t="shared" si="2"/>
        <v>31.69750347</v>
      </c>
      <c r="I17" s="9"/>
      <c r="J17" s="25"/>
      <c r="K17" s="25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>
        <v>15.0</v>
      </c>
      <c r="B18" s="17" t="s">
        <v>26</v>
      </c>
      <c r="C18" s="26">
        <v>597774.72</v>
      </c>
      <c r="D18" s="26">
        <v>524667.0</v>
      </c>
      <c r="E18" s="26">
        <v>278604.0</v>
      </c>
      <c r="F18" s="26">
        <v>0.0</v>
      </c>
      <c r="G18" s="9">
        <f t="shared" si="1"/>
        <v>246063</v>
      </c>
      <c r="H18" s="9">
        <f t="shared" si="2"/>
        <v>46.89889015</v>
      </c>
      <c r="I18" s="9"/>
      <c r="J18" s="25"/>
      <c r="K18" s="25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>
        <v>16.0</v>
      </c>
      <c r="B19" s="17" t="s">
        <v>27</v>
      </c>
      <c r="C19" s="26">
        <v>1761117.0</v>
      </c>
      <c r="D19" s="26">
        <v>1408794.0</v>
      </c>
      <c r="E19" s="26">
        <v>573966.0</v>
      </c>
      <c r="F19" s="26">
        <v>36992.0</v>
      </c>
      <c r="G19" s="9">
        <f t="shared" si="1"/>
        <v>797836</v>
      </c>
      <c r="H19" s="9">
        <f t="shared" si="2"/>
        <v>56.63255238</v>
      </c>
      <c r="I19" s="9"/>
      <c r="J19" s="25"/>
      <c r="K19" s="25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>
        <v>17.0</v>
      </c>
      <c r="B20" s="17" t="s">
        <v>28</v>
      </c>
      <c r="C20" s="26">
        <v>156193.92</v>
      </c>
      <c r="D20" s="26">
        <v>150755.0</v>
      </c>
      <c r="E20" s="26">
        <v>82355.0</v>
      </c>
      <c r="F20" s="26">
        <v>10000.0</v>
      </c>
      <c r="G20" s="9">
        <f t="shared" si="1"/>
        <v>58400</v>
      </c>
      <c r="H20" s="9">
        <f t="shared" si="2"/>
        <v>38.7383503</v>
      </c>
      <c r="I20" s="9"/>
      <c r="J20" s="25"/>
      <c r="K20" s="25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>
        <v>18.0</v>
      </c>
      <c r="B21" s="17" t="s">
        <v>29</v>
      </c>
      <c r="C21" s="26">
        <v>620295.0</v>
      </c>
      <c r="D21" s="26">
        <v>558722.0</v>
      </c>
      <c r="E21" s="26">
        <v>321672.0</v>
      </c>
      <c r="F21" s="26">
        <v>15894.0</v>
      </c>
      <c r="G21" s="9">
        <f t="shared" si="1"/>
        <v>221156</v>
      </c>
      <c r="H21" s="9">
        <f t="shared" si="2"/>
        <v>39.58247572</v>
      </c>
      <c r="I21" s="9"/>
      <c r="J21" s="25"/>
      <c r="K21" s="25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>
        <v>19.0</v>
      </c>
      <c r="B22" s="17" t="s">
        <v>30</v>
      </c>
      <c r="C22" s="26">
        <v>177917.0</v>
      </c>
      <c r="D22" s="26">
        <v>151566.0</v>
      </c>
      <c r="E22" s="26">
        <v>123003.0</v>
      </c>
      <c r="F22" s="26">
        <v>4500.0</v>
      </c>
      <c r="G22" s="9">
        <f t="shared" si="1"/>
        <v>24063</v>
      </c>
      <c r="H22" s="9">
        <f t="shared" si="2"/>
        <v>15.87625193</v>
      </c>
      <c r="I22" s="9"/>
      <c r="J22" s="25"/>
      <c r="K22" s="25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>
        <v>20.0</v>
      </c>
      <c r="B23" s="17" t="s">
        <v>31</v>
      </c>
      <c r="C23" s="26">
        <v>721640.0</v>
      </c>
      <c r="D23" s="26">
        <v>647021.0</v>
      </c>
      <c r="E23" s="26">
        <v>421460.0</v>
      </c>
      <c r="F23" s="26">
        <v>8522.0</v>
      </c>
      <c r="G23" s="9">
        <f t="shared" si="1"/>
        <v>217039</v>
      </c>
      <c r="H23" s="9">
        <f t="shared" si="2"/>
        <v>33.54435173</v>
      </c>
      <c r="I23" s="9"/>
      <c r="J23" s="25"/>
      <c r="K23" s="25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>
        <v>21.0</v>
      </c>
      <c r="B24" s="17" t="s">
        <v>32</v>
      </c>
      <c r="C24" s="26">
        <v>1659962.0</v>
      </c>
      <c r="D24" s="26">
        <v>1445293.0</v>
      </c>
      <c r="E24" s="26">
        <v>835214.0</v>
      </c>
      <c r="F24" s="26">
        <v>38000.0</v>
      </c>
      <c r="G24" s="9">
        <f t="shared" si="1"/>
        <v>572079</v>
      </c>
      <c r="H24" s="9">
        <f t="shared" si="2"/>
        <v>39.5822162</v>
      </c>
      <c r="I24" s="9"/>
      <c r="J24" s="25"/>
      <c r="K24" s="25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>
        <v>22.0</v>
      </c>
      <c r="B25" s="17" t="s">
        <v>33</v>
      </c>
      <c r="C25" s="26">
        <v>502946.0</v>
      </c>
      <c r="D25" s="26">
        <v>486945.0</v>
      </c>
      <c r="E25" s="26">
        <v>298196.0</v>
      </c>
      <c r="F25" s="26">
        <v>30000.0</v>
      </c>
      <c r="G25" s="9">
        <f t="shared" si="1"/>
        <v>158749</v>
      </c>
      <c r="H25" s="9">
        <f t="shared" si="2"/>
        <v>32.60101243</v>
      </c>
      <c r="I25" s="9"/>
      <c r="J25" s="25"/>
      <c r="K25" s="25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9" t="s">
        <v>48</v>
      </c>
      <c r="B26" s="20"/>
      <c r="C26" s="9">
        <f t="shared" ref="C26:G26" si="3">SUM(C4:C25)</f>
        <v>42165119.74</v>
      </c>
      <c r="D26" s="9">
        <f t="shared" si="3"/>
        <v>40633570.82</v>
      </c>
      <c r="E26" s="9">
        <f t="shared" si="3"/>
        <v>28527481.53</v>
      </c>
      <c r="F26" s="9">
        <f t="shared" si="3"/>
        <v>1190080.18</v>
      </c>
      <c r="G26" s="9">
        <f t="shared" si="3"/>
        <v>10916009.11</v>
      </c>
      <c r="H26" s="9">
        <f t="shared" si="2"/>
        <v>26.86450856</v>
      </c>
      <c r="I26" s="25"/>
      <c r="J26" s="25"/>
      <c r="K26" s="25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mergeCells count="8">
    <mergeCell ref="A1:I1"/>
    <mergeCell ref="A2:A3"/>
    <mergeCell ref="B2:B3"/>
    <mergeCell ref="G2:H2"/>
    <mergeCell ref="I2:I3"/>
    <mergeCell ref="J2:J3"/>
    <mergeCell ref="K2:K3"/>
    <mergeCell ref="A26:B26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6.75"/>
    <col customWidth="1" min="3" max="6" width="17.75"/>
    <col customWidth="1" min="8" max="8" width="17.13"/>
  </cols>
  <sheetData>
    <row r="1" ht="29.25" customHeight="1">
      <c r="A1" s="13" t="s">
        <v>55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9.25" customHeight="1">
      <c r="A2" s="16" t="s">
        <v>36</v>
      </c>
      <c r="B2" s="16" t="s">
        <v>37</v>
      </c>
      <c r="C2" s="17" t="s">
        <v>38</v>
      </c>
      <c r="D2" s="17" t="s">
        <v>39</v>
      </c>
      <c r="E2" s="17" t="s">
        <v>40</v>
      </c>
      <c r="F2" s="17" t="s">
        <v>41</v>
      </c>
      <c r="G2" s="19" t="s">
        <v>42</v>
      </c>
      <c r="H2" s="20"/>
      <c r="I2" s="16" t="s">
        <v>43</v>
      </c>
      <c r="J2" s="16" t="s">
        <v>50</v>
      </c>
      <c r="K2" s="16" t="s">
        <v>51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/>
      <c r="B3" s="21"/>
      <c r="C3" s="17" t="s">
        <v>44</v>
      </c>
      <c r="D3" s="17" t="s">
        <v>44</v>
      </c>
      <c r="E3" s="17" t="s">
        <v>44</v>
      </c>
      <c r="F3" s="17" t="s">
        <v>44</v>
      </c>
      <c r="G3" s="17" t="s">
        <v>45</v>
      </c>
      <c r="H3" s="17" t="s">
        <v>46</v>
      </c>
      <c r="I3" s="21"/>
      <c r="J3" s="21"/>
      <c r="K3" s="2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>
        <v>1.0</v>
      </c>
      <c r="B4" s="17" t="s">
        <v>12</v>
      </c>
      <c r="C4" s="26">
        <v>3863302.0</v>
      </c>
      <c r="D4" s="26">
        <v>4731909.0</v>
      </c>
      <c r="E4" s="26">
        <v>3652154.0</v>
      </c>
      <c r="F4" s="26">
        <v>130000.69</v>
      </c>
      <c r="G4" s="9">
        <f t="shared" ref="G4:G25" si="1">D4-E4-F4</f>
        <v>949754.31</v>
      </c>
      <c r="H4" s="9">
        <f t="shared" ref="H4:H26" si="2">(G4/D4)*100</f>
        <v>20.07127166</v>
      </c>
      <c r="I4" s="9"/>
      <c r="J4" s="25"/>
      <c r="K4" s="25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2.0</v>
      </c>
      <c r="B5" s="17" t="s">
        <v>13</v>
      </c>
      <c r="C5" s="26">
        <v>7030088.0</v>
      </c>
      <c r="D5" s="26">
        <v>6761072.0</v>
      </c>
      <c r="E5" s="26">
        <v>4949694.0</v>
      </c>
      <c r="F5" s="26">
        <v>129833.8</v>
      </c>
      <c r="G5" s="9">
        <f t="shared" si="1"/>
        <v>1681544.2</v>
      </c>
      <c r="H5" s="9">
        <f t="shared" si="2"/>
        <v>24.87097017</v>
      </c>
      <c r="I5" s="9"/>
      <c r="J5" s="25"/>
      <c r="K5" s="25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3.0</v>
      </c>
      <c r="B6" s="17" t="s">
        <v>14</v>
      </c>
      <c r="C6" s="26">
        <v>2488017.0</v>
      </c>
      <c r="D6" s="26">
        <v>1623133.83</v>
      </c>
      <c r="E6" s="26">
        <v>1219536.0</v>
      </c>
      <c r="F6" s="26">
        <v>59358.7</v>
      </c>
      <c r="G6" s="9">
        <f t="shared" si="1"/>
        <v>344239.13</v>
      </c>
      <c r="H6" s="9">
        <f t="shared" si="2"/>
        <v>21.20830234</v>
      </c>
      <c r="I6" s="9"/>
      <c r="J6" s="25"/>
      <c r="K6" s="25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>
        <v>4.0</v>
      </c>
      <c r="B7" s="17" t="s">
        <v>15</v>
      </c>
      <c r="C7" s="27">
        <v>2084940.0</v>
      </c>
      <c r="D7" s="26">
        <v>2020065.0</v>
      </c>
      <c r="E7" s="26">
        <v>1593660.0</v>
      </c>
      <c r="F7" s="26">
        <v>56420.0</v>
      </c>
      <c r="G7" s="9">
        <f t="shared" si="1"/>
        <v>369985</v>
      </c>
      <c r="H7" s="9">
        <f t="shared" si="2"/>
        <v>18.31549975</v>
      </c>
      <c r="I7" s="9"/>
      <c r="J7" s="25"/>
      <c r="K7" s="25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5.0</v>
      </c>
      <c r="B8" s="17" t="s">
        <v>16</v>
      </c>
      <c r="C8" s="26">
        <v>2321138.0</v>
      </c>
      <c r="D8" s="40">
        <v>2221031.35</v>
      </c>
      <c r="E8" s="26">
        <v>1472713.0</v>
      </c>
      <c r="F8" s="26">
        <v>105500.0</v>
      </c>
      <c r="G8" s="9">
        <f t="shared" si="1"/>
        <v>642818.35</v>
      </c>
      <c r="H8" s="9">
        <f t="shared" si="2"/>
        <v>28.94233573</v>
      </c>
      <c r="I8" s="9"/>
      <c r="J8" s="25"/>
      <c r="K8" s="25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>
        <v>6.0</v>
      </c>
      <c r="B9" s="17" t="s">
        <v>17</v>
      </c>
      <c r="C9" s="26">
        <v>2546399.0</v>
      </c>
      <c r="D9" s="26">
        <v>2470570.0</v>
      </c>
      <c r="E9" s="26">
        <v>1873115.0</v>
      </c>
      <c r="F9" s="26">
        <v>59663.52</v>
      </c>
      <c r="G9" s="9">
        <f t="shared" si="1"/>
        <v>537791.48</v>
      </c>
      <c r="H9" s="9">
        <f t="shared" si="2"/>
        <v>21.76791105</v>
      </c>
      <c r="I9" s="9"/>
      <c r="J9" s="25"/>
      <c r="K9" s="25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7.0</v>
      </c>
      <c r="B10" s="17" t="s">
        <v>18</v>
      </c>
      <c r="C10" s="26">
        <v>1026917.3</v>
      </c>
      <c r="D10" s="26">
        <v>1023840.0</v>
      </c>
      <c r="E10" s="26">
        <v>834966.0</v>
      </c>
      <c r="F10" s="26">
        <v>44764.92</v>
      </c>
      <c r="G10" s="9">
        <f t="shared" si="1"/>
        <v>144109.08</v>
      </c>
      <c r="H10" s="9">
        <f t="shared" si="2"/>
        <v>14.07535162</v>
      </c>
      <c r="I10" s="9"/>
      <c r="J10" s="25"/>
      <c r="K10" s="25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>
        <v>8.0</v>
      </c>
      <c r="B11" s="17" t="s">
        <v>19</v>
      </c>
      <c r="C11" s="26">
        <v>1251385.0</v>
      </c>
      <c r="D11" s="26">
        <v>1233118.0</v>
      </c>
      <c r="E11" s="26">
        <v>1076481.0</v>
      </c>
      <c r="F11" s="26">
        <v>43944.65</v>
      </c>
      <c r="G11" s="9">
        <f t="shared" si="1"/>
        <v>112692.35</v>
      </c>
      <c r="H11" s="9">
        <f t="shared" si="2"/>
        <v>9.138813155</v>
      </c>
      <c r="I11" s="9"/>
      <c r="J11" s="25"/>
      <c r="K11" s="25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>
        <v>9.0</v>
      </c>
      <c r="B12" s="17" t="s">
        <v>20</v>
      </c>
      <c r="C12" s="26">
        <v>2580196.8</v>
      </c>
      <c r="D12" s="26">
        <v>2341276.07</v>
      </c>
      <c r="E12" s="26">
        <v>1696517.0</v>
      </c>
      <c r="F12" s="26">
        <v>40000.0</v>
      </c>
      <c r="G12" s="9">
        <f t="shared" si="1"/>
        <v>604759.07</v>
      </c>
      <c r="H12" s="9">
        <f t="shared" si="2"/>
        <v>25.83031868</v>
      </c>
      <c r="I12" s="9"/>
      <c r="J12" s="25"/>
      <c r="K12" s="25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>
        <v>10.0</v>
      </c>
      <c r="B13" s="17" t="s">
        <v>21</v>
      </c>
      <c r="C13" s="26">
        <v>862517.91</v>
      </c>
      <c r="D13" s="26">
        <v>829840.0</v>
      </c>
      <c r="E13" s="26">
        <v>531725.0</v>
      </c>
      <c r="F13" s="26">
        <v>5012.0</v>
      </c>
      <c r="G13" s="9">
        <f t="shared" si="1"/>
        <v>293103</v>
      </c>
      <c r="H13" s="9">
        <f t="shared" si="2"/>
        <v>35.32042321</v>
      </c>
      <c r="I13" s="9"/>
      <c r="J13" s="25"/>
      <c r="K13" s="25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11.0</v>
      </c>
      <c r="B14" s="17" t="s">
        <v>22</v>
      </c>
      <c r="C14" s="26">
        <v>1904201.0</v>
      </c>
      <c r="D14" s="26">
        <v>1886312.0</v>
      </c>
      <c r="E14" s="26">
        <v>1536977.0</v>
      </c>
      <c r="F14" s="26">
        <v>82652.0</v>
      </c>
      <c r="G14" s="9">
        <f t="shared" si="1"/>
        <v>266683</v>
      </c>
      <c r="H14" s="9">
        <f t="shared" si="2"/>
        <v>14.13779905</v>
      </c>
      <c r="I14" s="9"/>
      <c r="J14" s="25"/>
      <c r="K14" s="25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12.0</v>
      </c>
      <c r="B15" s="17" t="s">
        <v>23</v>
      </c>
      <c r="C15" s="26">
        <v>3016264.0</v>
      </c>
      <c r="D15" s="26">
        <v>3292510.0</v>
      </c>
      <c r="E15" s="26">
        <v>2211273.0</v>
      </c>
      <c r="F15" s="26">
        <v>30048.0</v>
      </c>
      <c r="G15" s="9">
        <f t="shared" si="1"/>
        <v>1051189</v>
      </c>
      <c r="H15" s="9">
        <f t="shared" si="2"/>
        <v>31.926676</v>
      </c>
      <c r="I15" s="9"/>
      <c r="J15" s="25"/>
      <c r="K15" s="25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7">
        <v>13.0</v>
      </c>
      <c r="B16" s="17" t="s">
        <v>24</v>
      </c>
      <c r="C16" s="26">
        <v>917388.0</v>
      </c>
      <c r="D16" s="26">
        <v>777908.0</v>
      </c>
      <c r="E16" s="26">
        <v>440686.0</v>
      </c>
      <c r="F16" s="26">
        <v>6975.0</v>
      </c>
      <c r="G16" s="9">
        <f t="shared" si="1"/>
        <v>330247</v>
      </c>
      <c r="H16" s="9">
        <f t="shared" si="2"/>
        <v>42.45322069</v>
      </c>
      <c r="I16" s="9"/>
      <c r="J16" s="25"/>
      <c r="K16" s="25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>
        <v>14.0</v>
      </c>
      <c r="B17" s="17" t="s">
        <v>25</v>
      </c>
      <c r="C17" s="26">
        <v>1871218.0</v>
      </c>
      <c r="D17" s="26">
        <v>1807494.0</v>
      </c>
      <c r="E17" s="26">
        <v>1253191.0</v>
      </c>
      <c r="F17" s="26">
        <v>34079.0</v>
      </c>
      <c r="G17" s="9">
        <f t="shared" si="1"/>
        <v>520224</v>
      </c>
      <c r="H17" s="9">
        <f t="shared" si="2"/>
        <v>28.78150633</v>
      </c>
      <c r="I17" s="9"/>
      <c r="J17" s="25"/>
      <c r="K17" s="25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>
        <v>15.0</v>
      </c>
      <c r="B18" s="17" t="s">
        <v>26</v>
      </c>
      <c r="C18" s="26">
        <v>531956.47</v>
      </c>
      <c r="D18" s="26">
        <v>501496.0</v>
      </c>
      <c r="E18" s="26">
        <v>255642.0</v>
      </c>
      <c r="F18" s="26">
        <v>1986.36</v>
      </c>
      <c r="G18" s="9">
        <f t="shared" si="1"/>
        <v>243867.64</v>
      </c>
      <c r="H18" s="9">
        <f t="shared" si="2"/>
        <v>48.62803293</v>
      </c>
      <c r="I18" s="9"/>
      <c r="J18" s="25"/>
      <c r="K18" s="25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>
        <v>16.0</v>
      </c>
      <c r="B19" s="17" t="s">
        <v>27</v>
      </c>
      <c r="C19" s="26">
        <v>1553047.0</v>
      </c>
      <c r="D19" s="26">
        <v>1249984.53</v>
      </c>
      <c r="E19" s="26">
        <v>517162.0</v>
      </c>
      <c r="F19" s="26">
        <v>5688.0</v>
      </c>
      <c r="G19" s="9">
        <f t="shared" si="1"/>
        <v>727134.53</v>
      </c>
      <c r="H19" s="9">
        <f t="shared" si="2"/>
        <v>58.17148233</v>
      </c>
      <c r="I19" s="9"/>
      <c r="J19" s="25"/>
      <c r="K19" s="25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>
        <v>17.0</v>
      </c>
      <c r="B20" s="17" t="s">
        <v>28</v>
      </c>
      <c r="C20" s="26">
        <v>137326.08</v>
      </c>
      <c r="D20" s="26">
        <v>133878.0</v>
      </c>
      <c r="E20" s="26">
        <v>70415.0</v>
      </c>
      <c r="F20" s="26">
        <v>10000.0</v>
      </c>
      <c r="G20" s="9">
        <f t="shared" si="1"/>
        <v>53463</v>
      </c>
      <c r="H20" s="9">
        <f t="shared" si="2"/>
        <v>39.93411912</v>
      </c>
      <c r="I20" s="9"/>
      <c r="J20" s="25"/>
      <c r="K20" s="25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>
        <v>18.0</v>
      </c>
      <c r="B21" s="17" t="s">
        <v>29</v>
      </c>
      <c r="C21" s="26">
        <v>567998.63</v>
      </c>
      <c r="D21" s="26">
        <v>491088.31</v>
      </c>
      <c r="E21" s="26">
        <v>302256.0</v>
      </c>
      <c r="F21" s="26">
        <v>18082.0</v>
      </c>
      <c r="G21" s="9">
        <f t="shared" si="1"/>
        <v>170750.31</v>
      </c>
      <c r="H21" s="9">
        <f t="shared" si="2"/>
        <v>34.76977695</v>
      </c>
      <c r="I21" s="9"/>
      <c r="J21" s="25"/>
      <c r="K21" s="25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>
        <v>19.0</v>
      </c>
      <c r="B22" s="17" t="s">
        <v>30</v>
      </c>
      <c r="C22" s="26">
        <v>170271.0</v>
      </c>
      <c r="D22" s="26">
        <v>142504.0</v>
      </c>
      <c r="E22" s="26">
        <v>118423.0</v>
      </c>
      <c r="F22" s="26">
        <v>4740.0</v>
      </c>
      <c r="G22" s="9">
        <f t="shared" si="1"/>
        <v>19341</v>
      </c>
      <c r="H22" s="9">
        <f t="shared" si="2"/>
        <v>13.5722506</v>
      </c>
      <c r="I22" s="9"/>
      <c r="J22" s="25"/>
      <c r="K22" s="25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>
        <v>20.0</v>
      </c>
      <c r="B23" s="17" t="s">
        <v>31</v>
      </c>
      <c r="C23" s="26">
        <v>668943.0</v>
      </c>
      <c r="D23" s="26">
        <v>565113.0</v>
      </c>
      <c r="E23" s="26">
        <v>396623.0</v>
      </c>
      <c r="F23" s="26">
        <v>9215.0</v>
      </c>
      <c r="G23" s="9">
        <f t="shared" si="1"/>
        <v>159275</v>
      </c>
      <c r="H23" s="9">
        <f t="shared" si="2"/>
        <v>28.18462856</v>
      </c>
      <c r="I23" s="9"/>
      <c r="J23" s="25"/>
      <c r="K23" s="25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>
        <v>21.0</v>
      </c>
      <c r="B24" s="17" t="s">
        <v>32</v>
      </c>
      <c r="C24" s="26">
        <v>1559711.0</v>
      </c>
      <c r="D24" s="26">
        <v>1525013.0</v>
      </c>
      <c r="E24" s="26">
        <v>784783.0</v>
      </c>
      <c r="F24" s="26">
        <v>39500.0</v>
      </c>
      <c r="G24" s="9">
        <f t="shared" si="1"/>
        <v>700730</v>
      </c>
      <c r="H24" s="9">
        <f t="shared" si="2"/>
        <v>45.9491165</v>
      </c>
      <c r="I24" s="9"/>
      <c r="J24" s="25"/>
      <c r="K24" s="25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>
        <v>22.0</v>
      </c>
      <c r="B25" s="17" t="s">
        <v>33</v>
      </c>
      <c r="C25" s="26">
        <v>468959.0</v>
      </c>
      <c r="D25" s="26">
        <v>448026.0</v>
      </c>
      <c r="E25" s="26">
        <v>307828.0</v>
      </c>
      <c r="F25" s="26">
        <v>30000.0</v>
      </c>
      <c r="G25" s="9">
        <f t="shared" si="1"/>
        <v>110198</v>
      </c>
      <c r="H25" s="9">
        <f t="shared" si="2"/>
        <v>24.59634039</v>
      </c>
      <c r="I25" s="9"/>
      <c r="J25" s="25"/>
      <c r="K25" s="25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1" t="s">
        <v>48</v>
      </c>
      <c r="B26" s="20"/>
      <c r="C26" s="42">
        <f t="shared" ref="C26:G26" si="3">SUM(C4:C25)</f>
        <v>39422184.19</v>
      </c>
      <c r="D26" s="42">
        <f t="shared" si="3"/>
        <v>38077182.09</v>
      </c>
      <c r="E26" s="42">
        <f t="shared" si="3"/>
        <v>27095820</v>
      </c>
      <c r="F26" s="42">
        <f t="shared" si="3"/>
        <v>947463.64</v>
      </c>
      <c r="G26" s="42">
        <f t="shared" si="3"/>
        <v>10033898.45</v>
      </c>
      <c r="H26" s="42">
        <f t="shared" si="2"/>
        <v>26.35147324</v>
      </c>
      <c r="I26" s="43"/>
      <c r="J26" s="25"/>
      <c r="K26" s="25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8">
    <mergeCell ref="A1:I1"/>
    <mergeCell ref="A2:A3"/>
    <mergeCell ref="B2:B3"/>
    <mergeCell ref="G2:H2"/>
    <mergeCell ref="I2:I3"/>
    <mergeCell ref="J2:J3"/>
    <mergeCell ref="K2:K3"/>
    <mergeCell ref="A26:B26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6.75"/>
    <col customWidth="1" min="3" max="6" width="17.75"/>
    <col customWidth="1" min="8" max="8" width="17.13"/>
    <col customWidth="1" min="10" max="10" width="13.38"/>
    <col customWidth="1" min="11" max="11" width="13.25"/>
    <col customWidth="1" min="12" max="12" width="14.5"/>
  </cols>
  <sheetData>
    <row r="1" ht="29.25" customHeight="1">
      <c r="A1" s="13" t="s">
        <v>56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9.25" customHeight="1">
      <c r="A2" s="16" t="s">
        <v>36</v>
      </c>
      <c r="B2" s="16" t="s">
        <v>37</v>
      </c>
      <c r="C2" s="17" t="s">
        <v>38</v>
      </c>
      <c r="D2" s="17" t="s">
        <v>39</v>
      </c>
      <c r="E2" s="17" t="s">
        <v>40</v>
      </c>
      <c r="F2" s="17" t="s">
        <v>41</v>
      </c>
      <c r="G2" s="19" t="s">
        <v>42</v>
      </c>
      <c r="H2" s="20"/>
      <c r="I2" s="16" t="s">
        <v>43</v>
      </c>
      <c r="J2" s="16" t="s">
        <v>50</v>
      </c>
      <c r="K2" s="16" t="s">
        <v>51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/>
      <c r="B3" s="21"/>
      <c r="C3" s="17" t="s">
        <v>44</v>
      </c>
      <c r="D3" s="17" t="s">
        <v>44</v>
      </c>
      <c r="E3" s="17" t="s">
        <v>44</v>
      </c>
      <c r="F3" s="17" t="s">
        <v>44</v>
      </c>
      <c r="G3" s="17" t="s">
        <v>45</v>
      </c>
      <c r="H3" s="17" t="s">
        <v>46</v>
      </c>
      <c r="I3" s="21"/>
      <c r="J3" s="21"/>
      <c r="K3" s="2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>
        <v>1.0</v>
      </c>
      <c r="B4" s="17" t="s">
        <v>12</v>
      </c>
      <c r="C4" s="26">
        <v>4226373.0</v>
      </c>
      <c r="D4" s="44">
        <v>5166865.0</v>
      </c>
      <c r="E4" s="26">
        <v>4029726.86</v>
      </c>
      <c r="F4" s="26">
        <v>143603.38</v>
      </c>
      <c r="G4" s="9">
        <f t="shared" ref="G4:G25" si="1">D4-E4-F4</f>
        <v>993534.76</v>
      </c>
      <c r="H4" s="9">
        <f t="shared" ref="H4:H26" si="2">(G4/D4)*100</f>
        <v>19.22896689</v>
      </c>
      <c r="I4" s="9"/>
      <c r="J4" s="25"/>
      <c r="K4" s="25"/>
      <c r="L4" s="45">
        <v>4029726.86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2.0</v>
      </c>
      <c r="B5" s="17" t="s">
        <v>13</v>
      </c>
      <c r="C5" s="26">
        <v>6411988.0</v>
      </c>
      <c r="D5" s="26">
        <v>6023911.03</v>
      </c>
      <c r="E5" s="26">
        <v>4551075.0</v>
      </c>
      <c r="F5" s="26">
        <v>129073.6</v>
      </c>
      <c r="G5" s="9">
        <f t="shared" si="1"/>
        <v>1343762.43</v>
      </c>
      <c r="H5" s="9">
        <f t="shared" si="2"/>
        <v>22.30714271</v>
      </c>
      <c r="I5" s="9"/>
      <c r="J5" s="25"/>
      <c r="K5" s="25"/>
      <c r="L5" s="45">
        <v>5038075.74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3.0</v>
      </c>
      <c r="B6" s="17" t="s">
        <v>14</v>
      </c>
      <c r="C6" s="26">
        <v>2756226.0</v>
      </c>
      <c r="D6" s="26">
        <v>1808091.2</v>
      </c>
      <c r="E6" s="26">
        <v>1338324.0</v>
      </c>
      <c r="F6" s="26">
        <v>60333.49</v>
      </c>
      <c r="G6" s="9">
        <f t="shared" si="1"/>
        <v>409433.71</v>
      </c>
      <c r="H6" s="9">
        <f t="shared" si="2"/>
        <v>22.64452755</v>
      </c>
      <c r="I6" s="9"/>
      <c r="J6" s="25"/>
      <c r="K6" s="25"/>
      <c r="L6" s="45">
        <v>1338324.0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>
        <v>4.0</v>
      </c>
      <c r="B7" s="17" t="s">
        <v>15</v>
      </c>
      <c r="C7" s="26">
        <v>2428517.0</v>
      </c>
      <c r="D7" s="26">
        <v>2272768.0</v>
      </c>
      <c r="E7" s="26">
        <v>1760440.0</v>
      </c>
      <c r="F7" s="26">
        <v>58018.0</v>
      </c>
      <c r="G7" s="9">
        <f t="shared" si="1"/>
        <v>454310</v>
      </c>
      <c r="H7" s="9">
        <f t="shared" si="2"/>
        <v>19.98928179</v>
      </c>
      <c r="I7" s="9"/>
      <c r="J7" s="25"/>
      <c r="K7" s="25"/>
      <c r="L7" s="45">
        <v>1760440.0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5.0</v>
      </c>
      <c r="B8" s="17" t="s">
        <v>16</v>
      </c>
      <c r="C8" s="26">
        <v>2589155.0</v>
      </c>
      <c r="D8" s="26">
        <v>2565185.74</v>
      </c>
      <c r="E8" s="26">
        <v>1625192.0</v>
      </c>
      <c r="F8" s="26">
        <v>189500.0</v>
      </c>
      <c r="G8" s="9">
        <f t="shared" si="1"/>
        <v>750493.74</v>
      </c>
      <c r="H8" s="9">
        <f t="shared" si="2"/>
        <v>29.25689662</v>
      </c>
      <c r="I8" s="9"/>
      <c r="J8" s="25"/>
      <c r="K8" s="25"/>
      <c r="L8" s="45">
        <v>1625192.0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>
        <v>6.0</v>
      </c>
      <c r="B9" s="17" t="s">
        <v>17</v>
      </c>
      <c r="C9" s="26">
        <v>2953572.0</v>
      </c>
      <c r="D9" s="26">
        <v>2853990.0</v>
      </c>
      <c r="E9" s="26">
        <v>2094899.0</v>
      </c>
      <c r="F9" s="26">
        <v>61914.6</v>
      </c>
      <c r="G9" s="9">
        <f t="shared" si="1"/>
        <v>697176.4</v>
      </c>
      <c r="H9" s="9">
        <f t="shared" si="2"/>
        <v>24.42813044</v>
      </c>
      <c r="I9" s="9"/>
      <c r="J9" s="25"/>
      <c r="K9" s="25"/>
      <c r="L9" s="45">
        <v>2094899.0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7.0</v>
      </c>
      <c r="B10" s="17" t="s">
        <v>18</v>
      </c>
      <c r="C10" s="26">
        <v>1134755.0</v>
      </c>
      <c r="D10" s="26">
        <v>1129063.0</v>
      </c>
      <c r="E10" s="26">
        <v>911183.0</v>
      </c>
      <c r="F10" s="26">
        <v>49534.95</v>
      </c>
      <c r="G10" s="9">
        <f t="shared" si="1"/>
        <v>168345.05</v>
      </c>
      <c r="H10" s="9">
        <f t="shared" si="2"/>
        <v>14.91015559</v>
      </c>
      <c r="I10" s="9"/>
      <c r="J10" s="25"/>
      <c r="K10" s="25"/>
      <c r="L10" s="45">
        <v>911183.0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>
        <v>8.0</v>
      </c>
      <c r="B11" s="17" t="s">
        <v>19</v>
      </c>
      <c r="C11" s="26">
        <v>1390919.0</v>
      </c>
      <c r="D11" s="26">
        <v>1371763.0</v>
      </c>
      <c r="E11" s="26">
        <v>1212629.0</v>
      </c>
      <c r="F11" s="26">
        <v>44664.23</v>
      </c>
      <c r="G11" s="9">
        <f t="shared" si="1"/>
        <v>114469.77</v>
      </c>
      <c r="H11" s="9">
        <f t="shared" si="2"/>
        <v>8.344719168</v>
      </c>
      <c r="I11" s="9"/>
      <c r="J11" s="25"/>
      <c r="K11" s="25"/>
      <c r="L11" s="45">
        <v>1212629.0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>
        <v>9.0</v>
      </c>
      <c r="B12" s="17" t="s">
        <v>20</v>
      </c>
      <c r="C12" s="26">
        <v>2925520.0</v>
      </c>
      <c r="D12" s="26">
        <v>2656329.1</v>
      </c>
      <c r="E12" s="26">
        <v>1890196.0</v>
      </c>
      <c r="F12" s="26">
        <v>40000.0</v>
      </c>
      <c r="G12" s="9">
        <f t="shared" si="1"/>
        <v>726133.1</v>
      </c>
      <c r="H12" s="9">
        <f t="shared" si="2"/>
        <v>27.3359615</v>
      </c>
      <c r="I12" s="9"/>
      <c r="J12" s="25"/>
      <c r="K12" s="25"/>
      <c r="L12" s="45">
        <v>1890196.0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>
        <v>10.0</v>
      </c>
      <c r="B13" s="17" t="s">
        <v>21</v>
      </c>
      <c r="C13" s="26">
        <v>981525.98</v>
      </c>
      <c r="D13" s="26">
        <v>939133.0</v>
      </c>
      <c r="E13" s="26">
        <v>602593.0</v>
      </c>
      <c r="F13" s="26">
        <v>109075.0</v>
      </c>
      <c r="G13" s="9">
        <f t="shared" si="1"/>
        <v>227465</v>
      </c>
      <c r="H13" s="9">
        <f t="shared" si="2"/>
        <v>24.22074403</v>
      </c>
      <c r="I13" s="9"/>
      <c r="J13" s="25"/>
      <c r="K13" s="25"/>
      <c r="L13" s="45">
        <v>602593.0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11.0</v>
      </c>
      <c r="B14" s="17" t="s">
        <v>22</v>
      </c>
      <c r="C14" s="26">
        <v>2094345.0</v>
      </c>
      <c r="D14" s="26">
        <v>2075274.0</v>
      </c>
      <c r="E14" s="26">
        <v>1730510.87</v>
      </c>
      <c r="F14" s="26">
        <v>132526.0</v>
      </c>
      <c r="G14" s="9">
        <f t="shared" si="1"/>
        <v>212237.13</v>
      </c>
      <c r="H14" s="9">
        <f t="shared" si="2"/>
        <v>10.22694497</v>
      </c>
      <c r="I14" s="9"/>
      <c r="J14" s="25"/>
      <c r="K14" s="25"/>
      <c r="L14" s="45">
        <v>1730510.87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12.0</v>
      </c>
      <c r="B15" s="17" t="s">
        <v>23</v>
      </c>
      <c r="C15" s="26">
        <v>3544389.0</v>
      </c>
      <c r="D15" s="26">
        <v>3705660.0</v>
      </c>
      <c r="E15" s="26">
        <v>2502282.0</v>
      </c>
      <c r="F15" s="26">
        <v>189217.0</v>
      </c>
      <c r="G15" s="9">
        <f t="shared" si="1"/>
        <v>1014161</v>
      </c>
      <c r="H15" s="9">
        <f t="shared" si="2"/>
        <v>27.36789128</v>
      </c>
      <c r="I15" s="9"/>
      <c r="J15" s="25"/>
      <c r="K15" s="25"/>
      <c r="L15" s="45">
        <v>2502282.0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7">
        <v>13.0</v>
      </c>
      <c r="B16" s="17" t="s">
        <v>24</v>
      </c>
      <c r="C16" s="26">
        <v>1187630.0</v>
      </c>
      <c r="D16" s="26">
        <v>926107.0</v>
      </c>
      <c r="E16" s="26">
        <v>510637.0</v>
      </c>
      <c r="F16" s="26">
        <v>7102.0</v>
      </c>
      <c r="G16" s="9">
        <f t="shared" si="1"/>
        <v>408368</v>
      </c>
      <c r="H16" s="9">
        <f t="shared" si="2"/>
        <v>44.09512076</v>
      </c>
      <c r="I16" s="9"/>
      <c r="J16" s="25"/>
      <c r="K16" s="25"/>
      <c r="L16" s="45">
        <v>510637.0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>
        <v>14.0</v>
      </c>
      <c r="B17" s="17" t="s">
        <v>25</v>
      </c>
      <c r="C17" s="26">
        <v>2134310.0</v>
      </c>
      <c r="D17" s="26">
        <v>2019562.0</v>
      </c>
      <c r="E17" s="26">
        <v>1321944.0</v>
      </c>
      <c r="F17" s="26">
        <v>52644.0</v>
      </c>
      <c r="G17" s="9">
        <f t="shared" si="1"/>
        <v>644974</v>
      </c>
      <c r="H17" s="9">
        <f t="shared" si="2"/>
        <v>31.93633075</v>
      </c>
      <c r="I17" s="9"/>
      <c r="J17" s="25"/>
      <c r="K17" s="25"/>
      <c r="L17" s="45">
        <v>1321944.0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>
        <v>15.0</v>
      </c>
      <c r="B18" s="17" t="s">
        <v>26</v>
      </c>
      <c r="C18" s="26">
        <v>596382.35</v>
      </c>
      <c r="D18" s="26">
        <v>559446.0</v>
      </c>
      <c r="E18" s="26">
        <v>284364.0</v>
      </c>
      <c r="F18" s="26">
        <v>8827.02</v>
      </c>
      <c r="G18" s="9">
        <f t="shared" si="1"/>
        <v>266254.98</v>
      </c>
      <c r="H18" s="9">
        <f t="shared" si="2"/>
        <v>47.59261484</v>
      </c>
      <c r="I18" s="9"/>
      <c r="J18" s="25"/>
      <c r="K18" s="25"/>
      <c r="L18" s="45">
        <v>284364.0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>
        <v>16.0</v>
      </c>
      <c r="B19" s="17" t="s">
        <v>27</v>
      </c>
      <c r="C19" s="26">
        <v>1655928.9</v>
      </c>
      <c r="D19" s="26">
        <v>1306267.65</v>
      </c>
      <c r="E19" s="26">
        <v>566814.0</v>
      </c>
      <c r="F19" s="26">
        <v>8503.0</v>
      </c>
      <c r="G19" s="9">
        <f t="shared" si="1"/>
        <v>730950.65</v>
      </c>
      <c r="H19" s="9">
        <f t="shared" si="2"/>
        <v>55.95718841</v>
      </c>
      <c r="I19" s="9"/>
      <c r="J19" s="25"/>
      <c r="K19" s="25"/>
      <c r="L19" s="45">
        <v>566814.0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>
        <v>17.0</v>
      </c>
      <c r="B20" s="17" t="s">
        <v>28</v>
      </c>
      <c r="C20" s="26">
        <v>156514.56</v>
      </c>
      <c r="D20" s="26">
        <v>147677.0</v>
      </c>
      <c r="E20" s="26">
        <v>78367.0</v>
      </c>
      <c r="F20" s="26">
        <v>10000.0</v>
      </c>
      <c r="G20" s="9">
        <f t="shared" si="1"/>
        <v>59310</v>
      </c>
      <c r="H20" s="9">
        <f t="shared" si="2"/>
        <v>40.16197512</v>
      </c>
      <c r="I20" s="9"/>
      <c r="J20" s="25"/>
      <c r="K20" s="25"/>
      <c r="L20" s="45">
        <v>78367.0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>
        <v>18.0</v>
      </c>
      <c r="B21" s="17" t="s">
        <v>29</v>
      </c>
      <c r="C21" s="26">
        <v>607437.57</v>
      </c>
      <c r="D21" s="26">
        <v>545839.15</v>
      </c>
      <c r="E21" s="26">
        <v>323752.0</v>
      </c>
      <c r="F21" s="26">
        <v>18027.0</v>
      </c>
      <c r="G21" s="9">
        <f t="shared" si="1"/>
        <v>204060.15</v>
      </c>
      <c r="H21" s="9">
        <f t="shared" si="2"/>
        <v>37.38466726</v>
      </c>
      <c r="I21" s="9"/>
      <c r="J21" s="25"/>
      <c r="K21" s="25"/>
      <c r="L21" s="45">
        <v>323752.0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>
        <v>19.0</v>
      </c>
      <c r="B22" s="17" t="s">
        <v>30</v>
      </c>
      <c r="C22" s="26">
        <v>177990.0</v>
      </c>
      <c r="D22" s="26">
        <v>150551.0</v>
      </c>
      <c r="E22" s="26">
        <v>119141.0</v>
      </c>
      <c r="F22" s="26">
        <v>4652.0</v>
      </c>
      <c r="G22" s="9">
        <f t="shared" si="1"/>
        <v>26758</v>
      </c>
      <c r="H22" s="9">
        <f t="shared" si="2"/>
        <v>17.77337912</v>
      </c>
      <c r="I22" s="9"/>
      <c r="J22" s="25"/>
      <c r="K22" s="25"/>
      <c r="L22" s="45">
        <v>119141.0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>
        <v>20.0</v>
      </c>
      <c r="B23" s="17" t="s">
        <v>31</v>
      </c>
      <c r="C23" s="26">
        <v>765234.0</v>
      </c>
      <c r="D23" s="26">
        <v>668574.0</v>
      </c>
      <c r="E23" s="26">
        <v>435851.0</v>
      </c>
      <c r="F23" s="26">
        <v>11250.0</v>
      </c>
      <c r="G23" s="9">
        <f t="shared" si="1"/>
        <v>221473</v>
      </c>
      <c r="H23" s="9">
        <f t="shared" si="2"/>
        <v>33.12617601</v>
      </c>
      <c r="I23" s="9"/>
      <c r="J23" s="25"/>
      <c r="K23" s="25"/>
      <c r="L23" s="45">
        <v>435851.0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>
        <v>21.0</v>
      </c>
      <c r="B24" s="17" t="s">
        <v>32</v>
      </c>
      <c r="C24" s="26">
        <v>1784046.0</v>
      </c>
      <c r="D24" s="26">
        <v>1641956.0</v>
      </c>
      <c r="E24" s="26">
        <v>872205.0</v>
      </c>
      <c r="F24" s="26">
        <v>43750.0</v>
      </c>
      <c r="G24" s="9">
        <f t="shared" si="1"/>
        <v>726001</v>
      </c>
      <c r="H24" s="9">
        <f t="shared" si="2"/>
        <v>44.21561845</v>
      </c>
      <c r="I24" s="9"/>
      <c r="J24" s="25"/>
      <c r="K24" s="25"/>
      <c r="L24" s="45">
        <v>872205.0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>
        <v>22.0</v>
      </c>
      <c r="B25" s="17" t="s">
        <v>33</v>
      </c>
      <c r="C25" s="26">
        <v>557727.0</v>
      </c>
      <c r="D25" s="26">
        <v>533721.0</v>
      </c>
      <c r="E25" s="26">
        <v>326885.0</v>
      </c>
      <c r="F25" s="26">
        <v>30000.0</v>
      </c>
      <c r="G25" s="9">
        <f t="shared" si="1"/>
        <v>176836</v>
      </c>
      <c r="H25" s="9">
        <f t="shared" si="2"/>
        <v>33.13266669</v>
      </c>
      <c r="I25" s="9"/>
      <c r="J25" s="25"/>
      <c r="K25" s="25"/>
      <c r="L25" s="45">
        <v>326885.0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5" t="s">
        <v>48</v>
      </c>
      <c r="B26" s="20"/>
      <c r="C26" s="36">
        <f t="shared" ref="C26:G26" si="3">SUM(C4:C25)</f>
        <v>43060485.36</v>
      </c>
      <c r="D26" s="36">
        <f t="shared" si="3"/>
        <v>41067733.87</v>
      </c>
      <c r="E26" s="36">
        <f t="shared" si="3"/>
        <v>29089010.73</v>
      </c>
      <c r="F26" s="36">
        <f t="shared" si="3"/>
        <v>1402215.27</v>
      </c>
      <c r="G26" s="36">
        <f t="shared" si="3"/>
        <v>10576507.87</v>
      </c>
      <c r="H26" s="36">
        <f t="shared" si="2"/>
        <v>25.75381418</v>
      </c>
      <c r="I26" s="37"/>
      <c r="J26" s="25"/>
      <c r="K26" s="25"/>
      <c r="L26" s="45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mergeCells count="8">
    <mergeCell ref="A1:I1"/>
    <mergeCell ref="A2:A3"/>
    <mergeCell ref="B2:B3"/>
    <mergeCell ref="G2:H2"/>
    <mergeCell ref="I2:I3"/>
    <mergeCell ref="J2:J3"/>
    <mergeCell ref="K2:K3"/>
    <mergeCell ref="A26:B26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6.75"/>
    <col customWidth="1" min="3" max="6" width="17.75"/>
    <col customWidth="1" min="8" max="8" width="17.13"/>
    <col customWidth="1" min="10" max="10" width="19.13"/>
    <col customWidth="1" min="11" max="11" width="18.88"/>
  </cols>
  <sheetData>
    <row r="1" ht="29.25" customHeight="1">
      <c r="A1" s="13" t="s">
        <v>57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9.25" customHeight="1">
      <c r="A2" s="16" t="s">
        <v>36</v>
      </c>
      <c r="B2" s="16" t="s">
        <v>37</v>
      </c>
      <c r="C2" s="17" t="s">
        <v>38</v>
      </c>
      <c r="D2" s="17" t="s">
        <v>39</v>
      </c>
      <c r="E2" s="17" t="s">
        <v>40</v>
      </c>
      <c r="F2" s="17" t="s">
        <v>41</v>
      </c>
      <c r="G2" s="19" t="s">
        <v>42</v>
      </c>
      <c r="H2" s="20"/>
      <c r="I2" s="16" t="s">
        <v>43</v>
      </c>
      <c r="J2" s="16" t="s">
        <v>50</v>
      </c>
      <c r="K2" s="16" t="s">
        <v>51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/>
      <c r="B3" s="21"/>
      <c r="C3" s="17" t="s">
        <v>44</v>
      </c>
      <c r="D3" s="17" t="s">
        <v>44</v>
      </c>
      <c r="E3" s="17" t="s">
        <v>44</v>
      </c>
      <c r="F3" s="17" t="s">
        <v>44</v>
      </c>
      <c r="G3" s="17" t="s">
        <v>45</v>
      </c>
      <c r="H3" s="17" t="s">
        <v>46</v>
      </c>
      <c r="I3" s="21"/>
      <c r="J3" s="21"/>
      <c r="K3" s="2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>
        <v>1.0</v>
      </c>
      <c r="B4" s="17" t="s">
        <v>12</v>
      </c>
      <c r="C4" s="26">
        <v>3862486.0</v>
      </c>
      <c r="D4" s="46">
        <v>4986164.0</v>
      </c>
      <c r="E4" s="26">
        <v>3826169.2</v>
      </c>
      <c r="F4" s="26">
        <v>63425.42</v>
      </c>
      <c r="G4" s="9">
        <f t="shared" ref="G4:G25" si="1">D4-E4-F4</f>
        <v>1096569.38</v>
      </c>
      <c r="H4" s="9">
        <f t="shared" ref="H4:H26" si="2">(G4/D4)*100</f>
        <v>21.99224454</v>
      </c>
      <c r="I4" s="9"/>
      <c r="J4" s="25"/>
      <c r="K4" s="25"/>
      <c r="L4" s="14"/>
      <c r="M4" s="45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2.0</v>
      </c>
      <c r="B5" s="17" t="s">
        <v>13</v>
      </c>
      <c r="C5" s="47">
        <v>7011624.0</v>
      </c>
      <c r="D5" s="26">
        <v>6797161.56</v>
      </c>
      <c r="E5" s="26">
        <v>5142167.0</v>
      </c>
      <c r="F5" s="26">
        <v>150703.7</v>
      </c>
      <c r="G5" s="9">
        <f t="shared" si="1"/>
        <v>1504290.86</v>
      </c>
      <c r="H5" s="9">
        <f t="shared" si="2"/>
        <v>22.13116235</v>
      </c>
      <c r="I5" s="9"/>
      <c r="J5" s="25"/>
      <c r="K5" s="25"/>
      <c r="L5" s="14"/>
      <c r="M5" s="45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3.0</v>
      </c>
      <c r="B6" s="17" t="s">
        <v>14</v>
      </c>
      <c r="C6" s="26">
        <v>2789954.0</v>
      </c>
      <c r="D6" s="26">
        <v>1760144.63</v>
      </c>
      <c r="E6" s="26">
        <v>1292400.0</v>
      </c>
      <c r="F6" s="26">
        <v>56839.02</v>
      </c>
      <c r="G6" s="9">
        <f t="shared" si="1"/>
        <v>410905.61</v>
      </c>
      <c r="H6" s="9">
        <f t="shared" si="2"/>
        <v>23.34499126</v>
      </c>
      <c r="I6" s="9"/>
      <c r="J6" s="25"/>
      <c r="K6" s="25"/>
      <c r="L6" s="14"/>
      <c r="M6" s="45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>
        <v>4.0</v>
      </c>
      <c r="B7" s="17" t="s">
        <v>15</v>
      </c>
      <c r="C7" s="26">
        <v>2450893.0</v>
      </c>
      <c r="D7" s="26">
        <v>2297355.0</v>
      </c>
      <c r="E7" s="26">
        <v>1719027.0</v>
      </c>
      <c r="F7" s="26">
        <v>78301.18</v>
      </c>
      <c r="G7" s="9">
        <f t="shared" si="1"/>
        <v>500026.82</v>
      </c>
      <c r="H7" s="9">
        <f t="shared" si="2"/>
        <v>21.76532665</v>
      </c>
      <c r="I7" s="9"/>
      <c r="J7" s="17" t="s">
        <v>58</v>
      </c>
      <c r="K7" s="17" t="s">
        <v>59</v>
      </c>
      <c r="L7" s="14"/>
      <c r="M7" s="45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5.0</v>
      </c>
      <c r="B8" s="17" t="s">
        <v>16</v>
      </c>
      <c r="C8" s="48">
        <v>2563076.0</v>
      </c>
      <c r="D8" s="48">
        <v>2466134.82</v>
      </c>
      <c r="E8" s="48">
        <v>1604959.0</v>
      </c>
      <c r="F8" s="49">
        <v>115280.0</v>
      </c>
      <c r="G8" s="9">
        <f t="shared" si="1"/>
        <v>745895.82</v>
      </c>
      <c r="H8" s="9">
        <f t="shared" si="2"/>
        <v>30.24554108</v>
      </c>
      <c r="I8" s="9"/>
      <c r="J8" s="17" t="s">
        <v>60</v>
      </c>
      <c r="K8" s="17" t="s">
        <v>61</v>
      </c>
      <c r="L8" s="14"/>
      <c r="M8" s="45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>
        <v>6.0</v>
      </c>
      <c r="B9" s="17" t="s">
        <v>17</v>
      </c>
      <c r="C9" s="26">
        <v>2945750.0</v>
      </c>
      <c r="D9" s="26">
        <v>2820453.0</v>
      </c>
      <c r="E9" s="26">
        <v>1992240.0</v>
      </c>
      <c r="F9" s="26">
        <v>89782.0</v>
      </c>
      <c r="G9" s="9">
        <f t="shared" si="1"/>
        <v>738431</v>
      </c>
      <c r="H9" s="9">
        <f t="shared" si="2"/>
        <v>26.18129074</v>
      </c>
      <c r="I9" s="9"/>
      <c r="J9" s="17" t="s">
        <v>62</v>
      </c>
      <c r="K9" s="17" t="s">
        <v>63</v>
      </c>
      <c r="L9" s="14"/>
      <c r="M9" s="45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7.0</v>
      </c>
      <c r="B10" s="17" t="s">
        <v>18</v>
      </c>
      <c r="C10" s="26">
        <v>1088607.81</v>
      </c>
      <c r="D10" s="26">
        <v>1083941.0</v>
      </c>
      <c r="E10" s="26">
        <v>895489.0</v>
      </c>
      <c r="F10" s="26">
        <v>49534.95</v>
      </c>
      <c r="G10" s="9">
        <f t="shared" si="1"/>
        <v>138917.05</v>
      </c>
      <c r="H10" s="9">
        <f t="shared" si="2"/>
        <v>12.81592356</v>
      </c>
      <c r="I10" s="9"/>
      <c r="J10" s="17" t="s">
        <v>64</v>
      </c>
      <c r="K10" s="17" t="s">
        <v>65</v>
      </c>
      <c r="L10" s="14"/>
      <c r="M10" s="45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>
        <v>8.0</v>
      </c>
      <c r="B11" s="17" t="s">
        <v>19</v>
      </c>
      <c r="C11" s="26">
        <v>1303940.0</v>
      </c>
      <c r="D11" s="26">
        <v>1288970.0</v>
      </c>
      <c r="E11" s="26">
        <v>1156980.0</v>
      </c>
      <c r="F11" s="26">
        <v>39145.57</v>
      </c>
      <c r="G11" s="9">
        <f t="shared" si="1"/>
        <v>92844.43</v>
      </c>
      <c r="H11" s="9">
        <f t="shared" si="2"/>
        <v>7.202993863</v>
      </c>
      <c r="I11" s="9"/>
      <c r="J11" s="17" t="s">
        <v>66</v>
      </c>
      <c r="K11" s="17" t="s">
        <v>67</v>
      </c>
      <c r="L11" s="14"/>
      <c r="M11" s="45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>
        <v>9.0</v>
      </c>
      <c r="B12" s="17" t="s">
        <v>20</v>
      </c>
      <c r="C12" s="26">
        <v>2870180.0</v>
      </c>
      <c r="D12" s="26">
        <v>2626717.0</v>
      </c>
      <c r="E12" s="26">
        <v>1817247.0</v>
      </c>
      <c r="F12" s="26">
        <v>135000.0</v>
      </c>
      <c r="G12" s="9">
        <f t="shared" si="1"/>
        <v>674470</v>
      </c>
      <c r="H12" s="9">
        <f t="shared" si="2"/>
        <v>25.67729984</v>
      </c>
      <c r="I12" s="9"/>
      <c r="J12" s="17" t="s">
        <v>68</v>
      </c>
      <c r="K12" s="17" t="s">
        <v>69</v>
      </c>
      <c r="L12" s="14"/>
      <c r="M12" s="45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>
        <v>10.0</v>
      </c>
      <c r="B13" s="17" t="s">
        <v>21</v>
      </c>
      <c r="C13" s="26">
        <v>1010690.0</v>
      </c>
      <c r="D13" s="26">
        <v>963084.0</v>
      </c>
      <c r="E13" s="26">
        <v>584519.0</v>
      </c>
      <c r="F13" s="26">
        <v>60429.0</v>
      </c>
      <c r="G13" s="9">
        <f t="shared" si="1"/>
        <v>318136</v>
      </c>
      <c r="H13" s="9">
        <f t="shared" si="2"/>
        <v>33.033048</v>
      </c>
      <c r="I13" s="9"/>
      <c r="J13" s="25"/>
      <c r="K13" s="25"/>
      <c r="L13" s="14"/>
      <c r="M13" s="4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11.0</v>
      </c>
      <c r="B14" s="17" t="s">
        <v>22</v>
      </c>
      <c r="C14" s="26">
        <v>2026720.0</v>
      </c>
      <c r="D14" s="26">
        <v>2008252.0</v>
      </c>
      <c r="E14" s="26">
        <v>1643946.11</v>
      </c>
      <c r="F14" s="26">
        <v>42682.0</v>
      </c>
      <c r="G14" s="9">
        <f t="shared" si="1"/>
        <v>321623.89</v>
      </c>
      <c r="H14" s="9">
        <f t="shared" si="2"/>
        <v>16.01511613</v>
      </c>
      <c r="I14" s="9"/>
      <c r="J14" s="25"/>
      <c r="K14" s="25"/>
      <c r="L14" s="14"/>
      <c r="M14" s="45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12.0</v>
      </c>
      <c r="B15" s="17" t="s">
        <v>23</v>
      </c>
      <c r="C15" s="26">
        <v>3293240.0</v>
      </c>
      <c r="D15" s="26">
        <v>3590000.0</v>
      </c>
      <c r="E15" s="26">
        <v>2426134.0</v>
      </c>
      <c r="F15" s="26">
        <v>146303.0</v>
      </c>
      <c r="G15" s="9">
        <f t="shared" si="1"/>
        <v>1017563</v>
      </c>
      <c r="H15" s="9">
        <f t="shared" si="2"/>
        <v>28.34437326</v>
      </c>
      <c r="I15" s="9"/>
      <c r="J15" s="25"/>
      <c r="K15" s="25"/>
      <c r="L15" s="14"/>
      <c r="M15" s="45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7">
        <v>13.0</v>
      </c>
      <c r="B16" s="17" t="s">
        <v>24</v>
      </c>
      <c r="C16" s="50">
        <v>1159933.0</v>
      </c>
      <c r="D16" s="26">
        <v>931434.0</v>
      </c>
      <c r="E16" s="26">
        <v>497042.0</v>
      </c>
      <c r="F16" s="26">
        <v>6952.0</v>
      </c>
      <c r="G16" s="9">
        <f t="shared" si="1"/>
        <v>427440</v>
      </c>
      <c r="H16" s="9">
        <f t="shared" si="2"/>
        <v>45.89053009</v>
      </c>
      <c r="I16" s="9"/>
      <c r="J16" s="17" t="s">
        <v>70</v>
      </c>
      <c r="K16" s="17" t="s">
        <v>71</v>
      </c>
      <c r="L16" s="14"/>
      <c r="M16" s="45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>
        <v>14.0</v>
      </c>
      <c r="B17" s="17" t="s">
        <v>25</v>
      </c>
      <c r="C17" s="26">
        <v>2060540.0</v>
      </c>
      <c r="D17" s="26">
        <v>2041277.0</v>
      </c>
      <c r="E17" s="26">
        <v>1326264.0</v>
      </c>
      <c r="F17" s="26">
        <v>44468.0</v>
      </c>
      <c r="G17" s="9">
        <f t="shared" si="1"/>
        <v>670545</v>
      </c>
      <c r="H17" s="9">
        <f t="shared" si="2"/>
        <v>32.84928993</v>
      </c>
      <c r="I17" s="9"/>
      <c r="J17" s="17" t="s">
        <v>72</v>
      </c>
      <c r="K17" s="17" t="s">
        <v>73</v>
      </c>
      <c r="L17" s="14"/>
      <c r="M17" s="45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>
        <v>15.0</v>
      </c>
      <c r="B18" s="17" t="s">
        <v>26</v>
      </c>
      <c r="C18" s="26">
        <v>607277.71</v>
      </c>
      <c r="D18" s="26">
        <v>563578.0</v>
      </c>
      <c r="E18" s="26">
        <v>287675.0</v>
      </c>
      <c r="F18" s="26">
        <v>27276.98</v>
      </c>
      <c r="G18" s="9">
        <f t="shared" si="1"/>
        <v>248626.02</v>
      </c>
      <c r="H18" s="9">
        <f t="shared" si="2"/>
        <v>44.11563617</v>
      </c>
      <c r="I18" s="9"/>
      <c r="J18" s="17" t="s">
        <v>74</v>
      </c>
      <c r="K18" s="25"/>
      <c r="L18" s="14"/>
      <c r="M18" s="45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>
        <v>16.0</v>
      </c>
      <c r="B19" s="17" t="s">
        <v>27</v>
      </c>
      <c r="C19" s="26">
        <v>1581094.92</v>
      </c>
      <c r="D19" s="26">
        <v>1224990.92</v>
      </c>
      <c r="E19" s="26">
        <v>549009.0</v>
      </c>
      <c r="F19" s="26">
        <v>8960.0</v>
      </c>
      <c r="G19" s="9">
        <f t="shared" si="1"/>
        <v>667021.92</v>
      </c>
      <c r="H19" s="9">
        <f t="shared" si="2"/>
        <v>54.45117259</v>
      </c>
      <c r="I19" s="9"/>
      <c r="J19" s="17" t="s">
        <v>75</v>
      </c>
      <c r="K19" s="17">
        <v>9.70059909E8</v>
      </c>
      <c r="L19" s="14"/>
      <c r="M19" s="45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>
        <v>17.0</v>
      </c>
      <c r="B20" s="17" t="s">
        <v>28</v>
      </c>
      <c r="C20" s="26">
        <v>158120.64</v>
      </c>
      <c r="D20" s="26">
        <v>147273.0</v>
      </c>
      <c r="E20" s="26">
        <v>79136.0</v>
      </c>
      <c r="F20" s="26">
        <v>10000.0</v>
      </c>
      <c r="G20" s="9">
        <f t="shared" si="1"/>
        <v>58137</v>
      </c>
      <c r="H20" s="9">
        <f t="shared" si="2"/>
        <v>39.47566764</v>
      </c>
      <c r="I20" s="9"/>
      <c r="J20" s="25"/>
      <c r="K20" s="25"/>
      <c r="L20" s="14"/>
      <c r="M20" s="45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>
        <v>18.0</v>
      </c>
      <c r="B21" s="17" t="s">
        <v>29</v>
      </c>
      <c r="C21" s="26">
        <v>600154.74</v>
      </c>
      <c r="D21" s="26">
        <v>515919.57</v>
      </c>
      <c r="E21" s="26">
        <v>312823.0</v>
      </c>
      <c r="F21" s="26">
        <v>18027.0</v>
      </c>
      <c r="G21" s="9">
        <f t="shared" si="1"/>
        <v>185069.57</v>
      </c>
      <c r="H21" s="9">
        <f t="shared" si="2"/>
        <v>35.87178715</v>
      </c>
      <c r="I21" s="9"/>
      <c r="J21" s="25"/>
      <c r="K21" s="25"/>
      <c r="L21" s="14"/>
      <c r="M21" s="45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>
        <v>19.0</v>
      </c>
      <c r="B22" s="17" t="s">
        <v>30</v>
      </c>
      <c r="C22" s="26">
        <v>190225.0</v>
      </c>
      <c r="D22" s="26">
        <v>149825.0</v>
      </c>
      <c r="E22" s="26">
        <v>117209.0</v>
      </c>
      <c r="F22" s="26">
        <v>4658.46</v>
      </c>
      <c r="G22" s="9">
        <f t="shared" si="1"/>
        <v>27957.54</v>
      </c>
      <c r="H22" s="9">
        <f t="shared" si="2"/>
        <v>18.66013015</v>
      </c>
      <c r="I22" s="9"/>
      <c r="J22" s="25"/>
      <c r="K22" s="25"/>
      <c r="L22" s="14"/>
      <c r="M22" s="45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>
        <v>20.0</v>
      </c>
      <c r="B23" s="17" t="s">
        <v>31</v>
      </c>
      <c r="C23" s="26">
        <v>690684.0</v>
      </c>
      <c r="D23" s="26">
        <v>644902.0</v>
      </c>
      <c r="E23" s="26">
        <v>420495.0</v>
      </c>
      <c r="F23" s="26">
        <v>8023.0</v>
      </c>
      <c r="G23" s="9">
        <f t="shared" si="1"/>
        <v>216384</v>
      </c>
      <c r="H23" s="9">
        <f t="shared" si="2"/>
        <v>33.55300495</v>
      </c>
      <c r="I23" s="9"/>
      <c r="J23" s="25"/>
      <c r="K23" s="25"/>
      <c r="L23" s="14"/>
      <c r="M23" s="45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>
        <v>21.0</v>
      </c>
      <c r="B24" s="17" t="s">
        <v>32</v>
      </c>
      <c r="C24" s="26">
        <v>1738204.0</v>
      </c>
      <c r="D24" s="26">
        <v>1628956.0</v>
      </c>
      <c r="E24" s="26">
        <v>821788.0</v>
      </c>
      <c r="F24" s="26">
        <v>14425.0</v>
      </c>
      <c r="G24" s="9">
        <f t="shared" si="1"/>
        <v>792743</v>
      </c>
      <c r="H24" s="9">
        <f t="shared" si="2"/>
        <v>48.66570982</v>
      </c>
      <c r="I24" s="9"/>
      <c r="J24" s="25"/>
      <c r="K24" s="25"/>
      <c r="L24" s="14"/>
      <c r="M24" s="45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>
        <v>22.0</v>
      </c>
      <c r="B25" s="17" t="s">
        <v>33</v>
      </c>
      <c r="C25" s="26">
        <v>575632.0</v>
      </c>
      <c r="D25" s="26">
        <v>521977.0</v>
      </c>
      <c r="E25" s="26">
        <v>318943.0</v>
      </c>
      <c r="F25" s="26">
        <v>30000.0</v>
      </c>
      <c r="G25" s="9">
        <f t="shared" si="1"/>
        <v>173034</v>
      </c>
      <c r="H25" s="9">
        <f t="shared" si="2"/>
        <v>33.14973648</v>
      </c>
      <c r="I25" s="9"/>
      <c r="J25" s="17" t="s">
        <v>76</v>
      </c>
      <c r="K25" s="17" t="s">
        <v>77</v>
      </c>
      <c r="L25" s="14"/>
      <c r="M25" s="45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5" t="s">
        <v>48</v>
      </c>
      <c r="B26" s="20"/>
      <c r="C26" s="36">
        <f t="shared" ref="C26:G26" si="3">SUM(C4:C25)</f>
        <v>42579026.82</v>
      </c>
      <c r="D26" s="36">
        <f t="shared" si="3"/>
        <v>41058509.5</v>
      </c>
      <c r="E26" s="36">
        <f t="shared" si="3"/>
        <v>28831661.31</v>
      </c>
      <c r="F26" s="36">
        <f t="shared" si="3"/>
        <v>1200216.28</v>
      </c>
      <c r="G26" s="36">
        <f t="shared" si="3"/>
        <v>11026631.91</v>
      </c>
      <c r="H26" s="36">
        <f t="shared" si="2"/>
        <v>26.85589917</v>
      </c>
      <c r="I26" s="51"/>
      <c r="J26" s="25"/>
      <c r="K26" s="25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mergeCells count="8">
    <mergeCell ref="A1:I1"/>
    <mergeCell ref="A2:A3"/>
    <mergeCell ref="B2:B3"/>
    <mergeCell ref="G2:H2"/>
    <mergeCell ref="I2:I3"/>
    <mergeCell ref="J2:J3"/>
    <mergeCell ref="K2:K3"/>
    <mergeCell ref="A26:B26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6.75"/>
    <col customWidth="1" min="3" max="6" width="17.75"/>
    <col customWidth="1" min="8" max="8" width="17.13"/>
    <col customWidth="1" min="10" max="10" width="19.13"/>
    <col customWidth="1" min="11" max="11" width="18.88"/>
  </cols>
  <sheetData>
    <row r="1" ht="29.25" customHeight="1">
      <c r="A1" s="13" t="s">
        <v>78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9.25" customHeight="1">
      <c r="A2" s="16" t="s">
        <v>36</v>
      </c>
      <c r="B2" s="16" t="s">
        <v>37</v>
      </c>
      <c r="C2" s="17" t="s">
        <v>38</v>
      </c>
      <c r="D2" s="17" t="s">
        <v>39</v>
      </c>
      <c r="E2" s="17" t="s">
        <v>40</v>
      </c>
      <c r="F2" s="17" t="s">
        <v>41</v>
      </c>
      <c r="G2" s="19" t="s">
        <v>42</v>
      </c>
      <c r="H2" s="20"/>
      <c r="I2" s="16" t="s">
        <v>43</v>
      </c>
      <c r="J2" s="16" t="s">
        <v>50</v>
      </c>
      <c r="K2" s="16" t="s">
        <v>51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/>
      <c r="B3" s="21"/>
      <c r="C3" s="17" t="s">
        <v>44</v>
      </c>
      <c r="D3" s="17" t="s">
        <v>44</v>
      </c>
      <c r="E3" s="17" t="s">
        <v>44</v>
      </c>
      <c r="F3" s="17" t="s">
        <v>44</v>
      </c>
      <c r="G3" s="17" t="s">
        <v>45</v>
      </c>
      <c r="H3" s="17" t="s">
        <v>46</v>
      </c>
      <c r="I3" s="21"/>
      <c r="J3" s="21"/>
      <c r="K3" s="2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>
        <v>1.0</v>
      </c>
      <c r="B4" s="17" t="s">
        <v>12</v>
      </c>
      <c r="C4" s="26">
        <v>3941475.0</v>
      </c>
      <c r="D4" s="46">
        <v>5115484.5</v>
      </c>
      <c r="E4" s="26">
        <v>3823274.0</v>
      </c>
      <c r="F4" s="26">
        <v>97276.57</v>
      </c>
      <c r="G4" s="9">
        <f>D4-E4-F4</f>
        <v>1194933.93</v>
      </c>
      <c r="H4" s="9">
        <f t="shared" ref="H4:H26" si="1">(G4/D4)*100</f>
        <v>23.35915454</v>
      </c>
      <c r="I4" s="9"/>
      <c r="J4" s="25"/>
      <c r="K4" s="25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2.0</v>
      </c>
      <c r="B5" s="17" t="s">
        <v>13</v>
      </c>
      <c r="C5" s="26">
        <v>7011624.0</v>
      </c>
      <c r="D5" s="26">
        <v>6450076.0</v>
      </c>
      <c r="E5" s="26">
        <v>4530155.0</v>
      </c>
      <c r="F5" s="26">
        <v>250000.0</v>
      </c>
      <c r="G5" s="9">
        <v>1504290.8599999996</v>
      </c>
      <c r="H5" s="9">
        <f t="shared" si="1"/>
        <v>23.32206411</v>
      </c>
      <c r="I5" s="9"/>
      <c r="J5" s="25"/>
      <c r="K5" s="25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3.0</v>
      </c>
      <c r="B6" s="17" t="s">
        <v>14</v>
      </c>
      <c r="C6" s="26">
        <v>3008457.0</v>
      </c>
      <c r="D6" s="26">
        <v>1904575.0</v>
      </c>
      <c r="E6" s="26">
        <v>1351630.0</v>
      </c>
      <c r="F6" s="26">
        <v>55650.44</v>
      </c>
      <c r="G6" s="9">
        <f t="shared" ref="G6:G25" si="2">D6-E6-F6</f>
        <v>497294.56</v>
      </c>
      <c r="H6" s="9">
        <f t="shared" si="1"/>
        <v>26.1105265</v>
      </c>
      <c r="I6" s="9"/>
      <c r="J6" s="25"/>
      <c r="K6" s="25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>
        <v>4.0</v>
      </c>
      <c r="B7" s="17" t="s">
        <v>15</v>
      </c>
      <c r="C7" s="26">
        <v>2558707.0</v>
      </c>
      <c r="D7" s="26">
        <v>2378205.0</v>
      </c>
      <c r="E7" s="26">
        <v>1714895.0</v>
      </c>
      <c r="F7" s="26">
        <v>69186.0</v>
      </c>
      <c r="G7" s="9">
        <f t="shared" si="2"/>
        <v>594124</v>
      </c>
      <c r="H7" s="9">
        <f t="shared" si="1"/>
        <v>24.98203477</v>
      </c>
      <c r="I7" s="9"/>
      <c r="J7" s="17" t="s">
        <v>79</v>
      </c>
      <c r="K7" s="17" t="s">
        <v>80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5.0</v>
      </c>
      <c r="B8" s="17" t="s">
        <v>16</v>
      </c>
      <c r="C8" s="48">
        <v>2535287.0</v>
      </c>
      <c r="D8" s="48">
        <v>2593694.55</v>
      </c>
      <c r="E8" s="48">
        <v>1604959.0</v>
      </c>
      <c r="F8" s="49">
        <v>168950.0</v>
      </c>
      <c r="G8" s="9">
        <f t="shared" si="2"/>
        <v>819785.55</v>
      </c>
      <c r="H8" s="9">
        <f t="shared" si="1"/>
        <v>31.60686558</v>
      </c>
      <c r="I8" s="9"/>
      <c r="J8" s="17" t="s">
        <v>81</v>
      </c>
      <c r="K8" s="17" t="s">
        <v>82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>
        <v>6.0</v>
      </c>
      <c r="B9" s="17" t="s">
        <v>17</v>
      </c>
      <c r="C9" s="26">
        <v>2925952.0</v>
      </c>
      <c r="D9" s="26">
        <v>2819219.0</v>
      </c>
      <c r="E9" s="26">
        <v>1992240.0</v>
      </c>
      <c r="F9" s="26">
        <v>82934.0</v>
      </c>
      <c r="G9" s="9">
        <f t="shared" si="2"/>
        <v>744045</v>
      </c>
      <c r="H9" s="9">
        <f t="shared" si="1"/>
        <v>26.39188371</v>
      </c>
      <c r="I9" s="9"/>
      <c r="J9" s="17" t="s">
        <v>62</v>
      </c>
      <c r="K9" s="17" t="s">
        <v>63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7.0</v>
      </c>
      <c r="B10" s="17" t="s">
        <v>18</v>
      </c>
      <c r="C10" s="26">
        <v>1145498.0</v>
      </c>
      <c r="D10" s="26">
        <v>1138316.0</v>
      </c>
      <c r="E10" s="26">
        <v>908056.0</v>
      </c>
      <c r="F10" s="26">
        <v>49544.55</v>
      </c>
      <c r="G10" s="9">
        <f t="shared" si="2"/>
        <v>180715.45</v>
      </c>
      <c r="H10" s="9">
        <f t="shared" si="1"/>
        <v>15.8756839</v>
      </c>
      <c r="I10" s="9"/>
      <c r="J10" s="17" t="s">
        <v>64</v>
      </c>
      <c r="K10" s="17">
        <v>0.830141725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>
        <v>8.0</v>
      </c>
      <c r="B11" s="17" t="s">
        <v>19</v>
      </c>
      <c r="C11" s="26">
        <v>1368173.38</v>
      </c>
      <c r="D11" s="26">
        <v>1314722.46</v>
      </c>
      <c r="E11" s="26">
        <v>1177163.0</v>
      </c>
      <c r="F11" s="26">
        <v>31897.0</v>
      </c>
      <c r="G11" s="9">
        <f t="shared" si="2"/>
        <v>105662.46</v>
      </c>
      <c r="H11" s="9">
        <f t="shared" si="1"/>
        <v>8.036864298</v>
      </c>
      <c r="I11" s="9"/>
      <c r="J11" s="17" t="s">
        <v>66</v>
      </c>
      <c r="K11" s="17" t="s">
        <v>83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>
        <v>9.0</v>
      </c>
      <c r="B12" s="17" t="s">
        <v>20</v>
      </c>
      <c r="C12" s="26">
        <v>3079490.1</v>
      </c>
      <c r="D12" s="26">
        <v>2838284.1</v>
      </c>
      <c r="E12" s="26">
        <v>1811627.0</v>
      </c>
      <c r="F12" s="26">
        <v>185000.0</v>
      </c>
      <c r="G12" s="9">
        <f t="shared" si="2"/>
        <v>841657.1</v>
      </c>
      <c r="H12" s="9">
        <f t="shared" si="1"/>
        <v>29.65372987</v>
      </c>
      <c r="I12" s="9"/>
      <c r="J12" s="17" t="s">
        <v>68</v>
      </c>
      <c r="K12" s="17" t="s">
        <v>69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>
        <v>10.0</v>
      </c>
      <c r="B13" s="17" t="s">
        <v>21</v>
      </c>
      <c r="C13" s="26">
        <v>1031150.18</v>
      </c>
      <c r="D13" s="26">
        <v>929413.0</v>
      </c>
      <c r="E13" s="26">
        <v>584519.0</v>
      </c>
      <c r="F13" s="26">
        <v>53259.3</v>
      </c>
      <c r="G13" s="9">
        <f t="shared" si="2"/>
        <v>291634.7</v>
      </c>
      <c r="H13" s="9">
        <f t="shared" si="1"/>
        <v>31.37837538</v>
      </c>
      <c r="I13" s="9"/>
      <c r="J13" s="25"/>
      <c r="K13" s="25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11.0</v>
      </c>
      <c r="B14" s="17" t="s">
        <v>22</v>
      </c>
      <c r="C14" s="26">
        <v>2083066.0</v>
      </c>
      <c r="D14" s="26">
        <v>2063772.0</v>
      </c>
      <c r="E14" s="26">
        <v>1643946.11</v>
      </c>
      <c r="F14" s="26">
        <v>68298.0</v>
      </c>
      <c r="G14" s="9">
        <f t="shared" si="2"/>
        <v>351527.89</v>
      </c>
      <c r="H14" s="9">
        <f t="shared" si="1"/>
        <v>17.0332716</v>
      </c>
      <c r="I14" s="9"/>
      <c r="J14" s="25"/>
      <c r="K14" s="25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12.0</v>
      </c>
      <c r="B15" s="17" t="s">
        <v>23</v>
      </c>
      <c r="C15" s="26">
        <v>2475314.0</v>
      </c>
      <c r="D15" s="26">
        <v>3480939.0</v>
      </c>
      <c r="E15" s="26">
        <v>2425092.0</v>
      </c>
      <c r="F15" s="26">
        <v>106636.0</v>
      </c>
      <c r="G15" s="9">
        <f t="shared" si="2"/>
        <v>949211</v>
      </c>
      <c r="H15" s="9">
        <f t="shared" si="1"/>
        <v>27.26882028</v>
      </c>
      <c r="I15" s="9"/>
      <c r="J15" s="25"/>
      <c r="K15" s="25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7">
        <v>13.0</v>
      </c>
      <c r="B16" s="17" t="s">
        <v>24</v>
      </c>
      <c r="C16" s="50">
        <v>1225957.0</v>
      </c>
      <c r="D16" s="26">
        <v>938396.0</v>
      </c>
      <c r="E16" s="26">
        <v>497035.0</v>
      </c>
      <c r="F16" s="26">
        <v>7184.0</v>
      </c>
      <c r="G16" s="9">
        <f t="shared" si="2"/>
        <v>434177</v>
      </c>
      <c r="H16" s="9">
        <f t="shared" si="1"/>
        <v>46.26799347</v>
      </c>
      <c r="I16" s="9"/>
      <c r="J16" s="17" t="s">
        <v>70</v>
      </c>
      <c r="K16" s="17" t="s">
        <v>71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>
        <v>14.0</v>
      </c>
      <c r="B17" s="17" t="s">
        <v>25</v>
      </c>
      <c r="C17" s="26">
        <v>2158963.0</v>
      </c>
      <c r="D17" s="26">
        <v>2072035.0</v>
      </c>
      <c r="E17" s="26">
        <v>1392006.0</v>
      </c>
      <c r="F17" s="26">
        <v>47467.0</v>
      </c>
      <c r="G17" s="9">
        <f t="shared" si="2"/>
        <v>632562</v>
      </c>
      <c r="H17" s="9">
        <f t="shared" si="1"/>
        <v>30.52853837</v>
      </c>
      <c r="I17" s="9"/>
      <c r="J17" s="17" t="s">
        <v>72</v>
      </c>
      <c r="K17" s="17" t="s">
        <v>73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>
        <v>15.0</v>
      </c>
      <c r="B18" s="17" t="s">
        <v>26</v>
      </c>
      <c r="C18" s="26">
        <v>616152.98</v>
      </c>
      <c r="D18" s="26">
        <v>591855.0</v>
      </c>
      <c r="E18" s="26">
        <v>287675.0</v>
      </c>
      <c r="F18" s="26">
        <v>10090.72</v>
      </c>
      <c r="G18" s="9">
        <f t="shared" si="2"/>
        <v>294089.28</v>
      </c>
      <c r="H18" s="9">
        <f t="shared" si="1"/>
        <v>49.68941379</v>
      </c>
      <c r="I18" s="9"/>
      <c r="J18" s="17" t="s">
        <v>74</v>
      </c>
      <c r="K18" s="17" t="s">
        <v>84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>
        <v>16.0</v>
      </c>
      <c r="B19" s="17" t="s">
        <v>27</v>
      </c>
      <c r="C19" s="26">
        <v>1639736.0</v>
      </c>
      <c r="D19" s="26">
        <v>1276355.0</v>
      </c>
      <c r="E19" s="26">
        <v>548898.0</v>
      </c>
      <c r="F19" s="26">
        <v>3943.0</v>
      </c>
      <c r="G19" s="9">
        <f t="shared" si="2"/>
        <v>723514</v>
      </c>
      <c r="H19" s="9">
        <f t="shared" si="1"/>
        <v>56.68595336</v>
      </c>
      <c r="I19" s="9"/>
      <c r="J19" s="17" t="s">
        <v>75</v>
      </c>
      <c r="K19" s="17" t="s">
        <v>85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>
        <v>17.0</v>
      </c>
      <c r="B20" s="17" t="s">
        <v>28</v>
      </c>
      <c r="C20" s="26">
        <v>171730.56</v>
      </c>
      <c r="D20" s="26">
        <v>150788.0</v>
      </c>
      <c r="E20" s="26">
        <v>79136.0</v>
      </c>
      <c r="F20" s="26">
        <v>10000.0</v>
      </c>
      <c r="G20" s="9">
        <f t="shared" si="2"/>
        <v>61652</v>
      </c>
      <c r="H20" s="9">
        <f t="shared" si="1"/>
        <v>40.8865427</v>
      </c>
      <c r="I20" s="9"/>
      <c r="J20" s="25"/>
      <c r="K20" s="25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>
        <v>18.0</v>
      </c>
      <c r="B21" s="17" t="s">
        <v>29</v>
      </c>
      <c r="C21" s="26">
        <v>607545.0</v>
      </c>
      <c r="D21" s="26">
        <v>605722.54</v>
      </c>
      <c r="E21" s="26">
        <v>312823.0</v>
      </c>
      <c r="F21" s="26">
        <v>18027.0</v>
      </c>
      <c r="G21" s="9">
        <f t="shared" si="2"/>
        <v>274872.54</v>
      </c>
      <c r="H21" s="9">
        <f t="shared" si="1"/>
        <v>45.37928207</v>
      </c>
      <c r="I21" s="9"/>
      <c r="J21" s="17" t="s">
        <v>86</v>
      </c>
      <c r="K21" s="17">
        <v>9.92470958E8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>
        <v>19.0</v>
      </c>
      <c r="B22" s="17" t="s">
        <v>30</v>
      </c>
      <c r="C22" s="26">
        <v>182557.0</v>
      </c>
      <c r="D22" s="26">
        <v>155609.0</v>
      </c>
      <c r="E22" s="26">
        <v>115570.0</v>
      </c>
      <c r="F22" s="26">
        <v>5639.04</v>
      </c>
      <c r="G22" s="9">
        <f t="shared" si="2"/>
        <v>34399.96</v>
      </c>
      <c r="H22" s="9">
        <f t="shared" si="1"/>
        <v>22.10666478</v>
      </c>
      <c r="I22" s="9"/>
      <c r="J22" s="17" t="s">
        <v>87</v>
      </c>
      <c r="K22" s="17" t="s">
        <v>88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>
        <v>20.0</v>
      </c>
      <c r="B23" s="17" t="s">
        <v>31</v>
      </c>
      <c r="C23" s="26">
        <v>722289.0</v>
      </c>
      <c r="D23" s="26">
        <v>682238.0</v>
      </c>
      <c r="E23" s="26">
        <v>427660.0</v>
      </c>
      <c r="F23" s="26">
        <v>23567.0</v>
      </c>
      <c r="G23" s="9">
        <f t="shared" si="2"/>
        <v>231011</v>
      </c>
      <c r="H23" s="9">
        <f t="shared" si="1"/>
        <v>33.86076413</v>
      </c>
      <c r="I23" s="9"/>
      <c r="J23" s="25"/>
      <c r="K23" s="25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>
        <v>21.0</v>
      </c>
      <c r="B24" s="17" t="s">
        <v>32</v>
      </c>
      <c r="C24" s="26">
        <v>1735217.0</v>
      </c>
      <c r="D24" s="26">
        <v>1625680.0</v>
      </c>
      <c r="E24" s="26">
        <v>821008.0</v>
      </c>
      <c r="F24" s="26">
        <v>20378.0</v>
      </c>
      <c r="G24" s="9">
        <f t="shared" si="2"/>
        <v>784294</v>
      </c>
      <c r="H24" s="9">
        <f t="shared" si="1"/>
        <v>48.24405787</v>
      </c>
      <c r="I24" s="9"/>
      <c r="J24" s="25"/>
      <c r="K24" s="25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>
        <v>22.0</v>
      </c>
      <c r="B25" s="17" t="s">
        <v>33</v>
      </c>
      <c r="C25" s="26">
        <v>602333.0</v>
      </c>
      <c r="D25" s="26">
        <v>547370.0</v>
      </c>
      <c r="E25" s="26">
        <v>318943.0</v>
      </c>
      <c r="F25" s="26">
        <v>55000.0</v>
      </c>
      <c r="G25" s="9">
        <f t="shared" si="2"/>
        <v>173427</v>
      </c>
      <c r="H25" s="9">
        <f t="shared" si="1"/>
        <v>31.68368745</v>
      </c>
      <c r="I25" s="9"/>
      <c r="J25" s="17" t="s">
        <v>76</v>
      </c>
      <c r="K25" s="17" t="s">
        <v>77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5" t="s">
        <v>48</v>
      </c>
      <c r="B26" s="20"/>
      <c r="C26" s="36">
        <f t="shared" ref="C26:G26" si="3">SUM(C4:C25)</f>
        <v>42826674.2</v>
      </c>
      <c r="D26" s="36">
        <f t="shared" si="3"/>
        <v>41672749.15</v>
      </c>
      <c r="E26" s="36">
        <f t="shared" si="3"/>
        <v>28368310.11</v>
      </c>
      <c r="F26" s="36">
        <f t="shared" si="3"/>
        <v>1419927.62</v>
      </c>
      <c r="G26" s="36">
        <f t="shared" si="3"/>
        <v>11718881.28</v>
      </c>
      <c r="H26" s="36">
        <f t="shared" si="1"/>
        <v>28.12120995</v>
      </c>
      <c r="I26" s="51"/>
      <c r="J26" s="25"/>
      <c r="K26" s="25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mergeCells count="8">
    <mergeCell ref="A1:I1"/>
    <mergeCell ref="A2:A3"/>
    <mergeCell ref="B2:B3"/>
    <mergeCell ref="G2:H2"/>
    <mergeCell ref="I2:I3"/>
    <mergeCell ref="J2:J3"/>
    <mergeCell ref="K2:K3"/>
    <mergeCell ref="A26:B26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6.75"/>
    <col customWidth="1" min="3" max="6" width="17.75"/>
    <col customWidth="1" min="7" max="7" width="15.38"/>
    <col customWidth="1" min="8" max="8" width="18.63"/>
    <col customWidth="1" min="10" max="10" width="19.13"/>
    <col customWidth="1" min="11" max="11" width="18.88"/>
  </cols>
  <sheetData>
    <row r="1" ht="29.25" customHeight="1">
      <c r="A1" s="13" t="s">
        <v>89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9.25" customHeight="1">
      <c r="A2" s="16" t="s">
        <v>36</v>
      </c>
      <c r="B2" s="16" t="s">
        <v>37</v>
      </c>
      <c r="C2" s="17" t="s">
        <v>38</v>
      </c>
      <c r="D2" s="17" t="s">
        <v>39</v>
      </c>
      <c r="E2" s="17" t="s">
        <v>40</v>
      </c>
      <c r="F2" s="17" t="s">
        <v>41</v>
      </c>
      <c r="G2" s="19" t="s">
        <v>42</v>
      </c>
      <c r="H2" s="20"/>
      <c r="I2" s="16" t="s">
        <v>43</v>
      </c>
      <c r="J2" s="16" t="s">
        <v>50</v>
      </c>
      <c r="K2" s="16" t="s">
        <v>51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/>
      <c r="B3" s="21"/>
      <c r="C3" s="17" t="s">
        <v>44</v>
      </c>
      <c r="D3" s="17" t="s">
        <v>44</v>
      </c>
      <c r="E3" s="17" t="s">
        <v>44</v>
      </c>
      <c r="F3" s="17" t="s">
        <v>44</v>
      </c>
      <c r="G3" s="17" t="s">
        <v>45</v>
      </c>
      <c r="H3" s="17" t="s">
        <v>46</v>
      </c>
      <c r="I3" s="21"/>
      <c r="J3" s="21"/>
      <c r="K3" s="2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>
        <v>1.0</v>
      </c>
      <c r="B4" s="17" t="s">
        <v>12</v>
      </c>
      <c r="C4" s="26">
        <v>3763318.0</v>
      </c>
      <c r="D4" s="46">
        <v>5143184.0</v>
      </c>
      <c r="E4" s="26">
        <v>3825304.0</v>
      </c>
      <c r="F4" s="26">
        <v>150764.36</v>
      </c>
      <c r="G4" s="9">
        <f t="shared" ref="G4:G25" si="1">D4-E4-F4</f>
        <v>1167115.64</v>
      </c>
      <c r="H4" s="9">
        <f t="shared" ref="H4:H26" si="2">(G4/D4)*100</f>
        <v>22.69247299</v>
      </c>
      <c r="I4" s="9"/>
      <c r="J4" s="25"/>
      <c r="K4" s="25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2.0</v>
      </c>
      <c r="B5" s="17" t="s">
        <v>13</v>
      </c>
      <c r="C5" s="26">
        <v>6763272.0</v>
      </c>
      <c r="D5" s="26">
        <v>6621617.94</v>
      </c>
      <c r="E5" s="26">
        <v>4541689.72</v>
      </c>
      <c r="F5" s="26">
        <v>245998.67</v>
      </c>
      <c r="G5" s="9">
        <f t="shared" si="1"/>
        <v>1833929.55</v>
      </c>
      <c r="H5" s="9">
        <f t="shared" si="2"/>
        <v>27.69609432</v>
      </c>
      <c r="I5" s="26"/>
      <c r="J5" s="25"/>
      <c r="K5" s="25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3.0</v>
      </c>
      <c r="B6" s="17" t="s">
        <v>14</v>
      </c>
      <c r="C6" s="26">
        <v>2988356.87</v>
      </c>
      <c r="D6" s="26">
        <v>1840685.0</v>
      </c>
      <c r="E6" s="26">
        <v>1309841.0</v>
      </c>
      <c r="F6" s="26">
        <v>54571.81</v>
      </c>
      <c r="G6" s="9">
        <f t="shared" si="1"/>
        <v>476272.19</v>
      </c>
      <c r="H6" s="9">
        <f t="shared" si="2"/>
        <v>25.87472544</v>
      </c>
      <c r="I6" s="26"/>
      <c r="J6" s="25"/>
      <c r="K6" s="25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>
        <v>4.0</v>
      </c>
      <c r="B7" s="17" t="s">
        <v>15</v>
      </c>
      <c r="C7" s="26">
        <v>2541344.0</v>
      </c>
      <c r="D7" s="26">
        <v>2246811.0</v>
      </c>
      <c r="E7" s="26">
        <v>1749968.0</v>
      </c>
      <c r="F7" s="26">
        <v>45060.68</v>
      </c>
      <c r="G7" s="9">
        <f t="shared" si="1"/>
        <v>451782.32</v>
      </c>
      <c r="H7" s="9">
        <f t="shared" si="2"/>
        <v>20.10771355</v>
      </c>
      <c r="I7" s="26"/>
      <c r="J7" s="17" t="s">
        <v>79</v>
      </c>
      <c r="K7" s="17" t="s">
        <v>80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5.0</v>
      </c>
      <c r="B8" s="17" t="s">
        <v>16</v>
      </c>
      <c r="C8" s="48">
        <v>2601744.0</v>
      </c>
      <c r="D8" s="48">
        <v>2547636.09</v>
      </c>
      <c r="E8" s="48">
        <v>1483777.0</v>
      </c>
      <c r="F8" s="49">
        <v>179860.0</v>
      </c>
      <c r="G8" s="9">
        <f t="shared" si="1"/>
        <v>883999.09</v>
      </c>
      <c r="H8" s="9">
        <f t="shared" si="2"/>
        <v>34.69879758</v>
      </c>
      <c r="I8" s="26"/>
      <c r="J8" s="17"/>
      <c r="K8" s="17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>
        <v>6.0</v>
      </c>
      <c r="B9" s="17" t="s">
        <v>17</v>
      </c>
      <c r="C9" s="26">
        <v>2870100.0</v>
      </c>
      <c r="D9" s="26">
        <v>2752528.0</v>
      </c>
      <c r="E9" s="26">
        <v>1986469.0</v>
      </c>
      <c r="F9" s="26">
        <v>81546.0</v>
      </c>
      <c r="G9" s="9">
        <f t="shared" si="1"/>
        <v>684513</v>
      </c>
      <c r="H9" s="9">
        <f t="shared" si="2"/>
        <v>24.86852087</v>
      </c>
      <c r="I9" s="26"/>
      <c r="J9" s="17" t="s">
        <v>62</v>
      </c>
      <c r="K9" s="17" t="s">
        <v>63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7.0</v>
      </c>
      <c r="B10" s="17" t="s">
        <v>18</v>
      </c>
      <c r="C10" s="26">
        <v>1087149.0</v>
      </c>
      <c r="D10" s="26">
        <v>1079786.0</v>
      </c>
      <c r="E10" s="26">
        <v>887054.0</v>
      </c>
      <c r="F10" s="26">
        <v>45030.0</v>
      </c>
      <c r="G10" s="9">
        <f t="shared" si="1"/>
        <v>147702</v>
      </c>
      <c r="H10" s="9">
        <f t="shared" si="2"/>
        <v>13.67882154</v>
      </c>
      <c r="I10" s="26"/>
      <c r="J10" s="17" t="s">
        <v>64</v>
      </c>
      <c r="K10" s="17" t="s">
        <v>90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>
        <v>8.0</v>
      </c>
      <c r="B11" s="17" t="s">
        <v>19</v>
      </c>
      <c r="C11" s="26">
        <v>1302125.18</v>
      </c>
      <c r="D11" s="26">
        <v>1302125.18</v>
      </c>
      <c r="E11" s="26">
        <v>1136215.0</v>
      </c>
      <c r="F11" s="26">
        <v>35740.34</v>
      </c>
      <c r="G11" s="9">
        <f t="shared" si="1"/>
        <v>130169.84</v>
      </c>
      <c r="H11" s="9">
        <f t="shared" si="2"/>
        <v>9.996722435</v>
      </c>
      <c r="I11" s="26"/>
      <c r="J11" s="17" t="s">
        <v>66</v>
      </c>
      <c r="K11" s="17" t="s">
        <v>83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>
        <v>9.0</v>
      </c>
      <c r="B12" s="17" t="s">
        <v>20</v>
      </c>
      <c r="C12" s="26">
        <v>3204921.0</v>
      </c>
      <c r="D12" s="26">
        <v>2938567.0</v>
      </c>
      <c r="E12" s="26">
        <v>1695628.0</v>
      </c>
      <c r="F12" s="26">
        <v>385000.0</v>
      </c>
      <c r="G12" s="9">
        <f t="shared" si="1"/>
        <v>857939</v>
      </c>
      <c r="H12" s="9">
        <f t="shared" si="2"/>
        <v>29.19582912</v>
      </c>
      <c r="I12" s="26"/>
      <c r="J12" s="17" t="s">
        <v>68</v>
      </c>
      <c r="K12" s="17" t="s">
        <v>69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>
        <v>10.0</v>
      </c>
      <c r="B13" s="17" t="s">
        <v>21</v>
      </c>
      <c r="C13" s="26">
        <v>1024912.72</v>
      </c>
      <c r="D13" s="26">
        <v>914463.0</v>
      </c>
      <c r="E13" s="26">
        <v>583159.0</v>
      </c>
      <c r="F13" s="26">
        <v>51228.0</v>
      </c>
      <c r="G13" s="9">
        <f t="shared" si="1"/>
        <v>280076</v>
      </c>
      <c r="H13" s="9">
        <f t="shared" si="2"/>
        <v>30.62737366</v>
      </c>
      <c r="I13" s="26"/>
      <c r="J13" s="17">
        <v>111.0</v>
      </c>
      <c r="K13" s="25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11.0</v>
      </c>
      <c r="B14" s="17" t="s">
        <v>22</v>
      </c>
      <c r="C14" s="26">
        <v>2023121.0</v>
      </c>
      <c r="D14" s="26">
        <v>2004278.0</v>
      </c>
      <c r="E14" s="26">
        <v>1665602.0</v>
      </c>
      <c r="F14" s="26">
        <v>72246.0</v>
      </c>
      <c r="G14" s="9">
        <f t="shared" si="1"/>
        <v>266430</v>
      </c>
      <c r="H14" s="9">
        <f t="shared" si="2"/>
        <v>13.29306613</v>
      </c>
      <c r="I14" s="26"/>
      <c r="J14" s="17">
        <v>111.0</v>
      </c>
      <c r="K14" s="25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12.0</v>
      </c>
      <c r="B15" s="17" t="s">
        <v>23</v>
      </c>
      <c r="C15" s="26">
        <v>2212762.0</v>
      </c>
      <c r="D15" s="26">
        <v>3043813.0</v>
      </c>
      <c r="E15" s="26">
        <v>2389888.0</v>
      </c>
      <c r="F15" s="26">
        <v>106636.0</v>
      </c>
      <c r="G15" s="9">
        <f t="shared" si="1"/>
        <v>547289</v>
      </c>
      <c r="H15" s="9">
        <f t="shared" si="2"/>
        <v>17.98037527</v>
      </c>
      <c r="I15" s="26"/>
      <c r="J15" s="25"/>
      <c r="K15" s="25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7">
        <v>13.0</v>
      </c>
      <c r="B16" s="17" t="s">
        <v>24</v>
      </c>
      <c r="C16" s="52">
        <v>1077934.0</v>
      </c>
      <c r="D16" s="26">
        <v>818337.0</v>
      </c>
      <c r="E16" s="53">
        <v>463869.0</v>
      </c>
      <c r="F16" s="26">
        <v>8725.0</v>
      </c>
      <c r="G16" s="9">
        <f t="shared" si="1"/>
        <v>345743</v>
      </c>
      <c r="H16" s="9">
        <f t="shared" si="2"/>
        <v>42.24946446</v>
      </c>
      <c r="I16" s="26"/>
      <c r="J16" s="17" t="s">
        <v>70</v>
      </c>
      <c r="K16" s="17" t="s">
        <v>71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>
        <v>14.0</v>
      </c>
      <c r="B17" s="17" t="s">
        <v>25</v>
      </c>
      <c r="C17" s="26">
        <v>2022788.0</v>
      </c>
      <c r="D17" s="26">
        <v>1972463.0</v>
      </c>
      <c r="E17" s="26">
        <v>1288326.0</v>
      </c>
      <c r="F17" s="26">
        <v>40957.0</v>
      </c>
      <c r="G17" s="9">
        <f t="shared" si="1"/>
        <v>643180</v>
      </c>
      <c r="H17" s="9">
        <f t="shared" si="2"/>
        <v>32.60796273</v>
      </c>
      <c r="I17" s="9"/>
      <c r="J17" s="17" t="s">
        <v>91</v>
      </c>
      <c r="K17" s="17" t="s">
        <v>73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>
        <v>15.0</v>
      </c>
      <c r="B18" s="17" t="s">
        <v>26</v>
      </c>
      <c r="C18" s="26">
        <v>565469.78</v>
      </c>
      <c r="D18" s="26">
        <v>507714.0</v>
      </c>
      <c r="E18" s="26">
        <v>285533.0</v>
      </c>
      <c r="F18" s="26">
        <v>6264.89</v>
      </c>
      <c r="G18" s="9">
        <f t="shared" si="1"/>
        <v>215916.11</v>
      </c>
      <c r="H18" s="9">
        <f t="shared" si="2"/>
        <v>42.52711369</v>
      </c>
      <c r="I18" s="9"/>
      <c r="J18" s="17" t="s">
        <v>74</v>
      </c>
      <c r="K18" s="17" t="s">
        <v>84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>
        <v>16.0</v>
      </c>
      <c r="B19" s="17" t="s">
        <v>27</v>
      </c>
      <c r="C19" s="26">
        <v>1565742.0</v>
      </c>
      <c r="D19" s="26">
        <v>1232873.0</v>
      </c>
      <c r="E19" s="26">
        <v>548839.0</v>
      </c>
      <c r="F19" s="26">
        <v>2077.0</v>
      </c>
      <c r="G19" s="9">
        <f t="shared" si="1"/>
        <v>681957</v>
      </c>
      <c r="H19" s="9">
        <f t="shared" si="2"/>
        <v>55.31445656</v>
      </c>
      <c r="I19" s="9"/>
      <c r="J19" s="17"/>
      <c r="K19" s="1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>
        <v>17.0</v>
      </c>
      <c r="B20" s="17" t="s">
        <v>28</v>
      </c>
      <c r="C20" s="26">
        <v>164134.08</v>
      </c>
      <c r="D20" s="26">
        <v>142084.0</v>
      </c>
      <c r="E20" s="26">
        <v>74663.0</v>
      </c>
      <c r="F20" s="26">
        <v>10000.0</v>
      </c>
      <c r="G20" s="9">
        <f t="shared" si="1"/>
        <v>57421</v>
      </c>
      <c r="H20" s="9">
        <f t="shared" si="2"/>
        <v>40.41341742</v>
      </c>
      <c r="I20" s="9"/>
      <c r="J20" s="25"/>
      <c r="K20" s="25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>
        <v>18.0</v>
      </c>
      <c r="B21" s="17" t="s">
        <v>29</v>
      </c>
      <c r="C21" s="26">
        <v>573092.75</v>
      </c>
      <c r="D21" s="26">
        <v>496731.67</v>
      </c>
      <c r="E21" s="26">
        <v>312048.0</v>
      </c>
      <c r="F21" s="26">
        <v>18027.0</v>
      </c>
      <c r="G21" s="9">
        <f t="shared" si="1"/>
        <v>166656.67</v>
      </c>
      <c r="H21" s="9">
        <f t="shared" si="2"/>
        <v>33.55064315</v>
      </c>
      <c r="I21" s="9"/>
      <c r="J21" s="25"/>
      <c r="K21" s="25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>
        <v>19.0</v>
      </c>
      <c r="B22" s="17" t="s">
        <v>30</v>
      </c>
      <c r="C22" s="26">
        <v>179903.0</v>
      </c>
      <c r="D22" s="26">
        <v>153966.0</v>
      </c>
      <c r="E22" s="26">
        <v>110046.0</v>
      </c>
      <c r="F22" s="26">
        <v>6918.83</v>
      </c>
      <c r="G22" s="9">
        <f t="shared" si="1"/>
        <v>37001.17</v>
      </c>
      <c r="H22" s="9">
        <f t="shared" si="2"/>
        <v>24.03203954</v>
      </c>
      <c r="I22" s="9"/>
      <c r="J22" s="17" t="s">
        <v>92</v>
      </c>
      <c r="K22" s="17" t="s">
        <v>93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>
        <v>20.0</v>
      </c>
      <c r="B23" s="17" t="s">
        <v>31</v>
      </c>
      <c r="C23" s="26">
        <v>677766.0</v>
      </c>
      <c r="D23" s="26">
        <v>619445.0</v>
      </c>
      <c r="E23" s="26">
        <v>377634.0</v>
      </c>
      <c r="F23" s="26">
        <v>23810.0</v>
      </c>
      <c r="G23" s="9">
        <f t="shared" si="1"/>
        <v>218001</v>
      </c>
      <c r="H23" s="9">
        <f t="shared" si="2"/>
        <v>35.19295498</v>
      </c>
      <c r="I23" s="9"/>
      <c r="J23" s="25"/>
      <c r="K23" s="25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>
        <v>21.0</v>
      </c>
      <c r="B24" s="17" t="s">
        <v>32</v>
      </c>
      <c r="C24" s="26">
        <v>1753615.0</v>
      </c>
      <c r="D24" s="26">
        <v>1608460.0</v>
      </c>
      <c r="E24" s="26">
        <v>828043.0</v>
      </c>
      <c r="F24" s="26">
        <v>20404.0</v>
      </c>
      <c r="G24" s="9">
        <f t="shared" si="1"/>
        <v>760013</v>
      </c>
      <c r="H24" s="9">
        <f t="shared" si="2"/>
        <v>47.25097298</v>
      </c>
      <c r="I24" s="9"/>
      <c r="J24" s="25"/>
      <c r="K24" s="25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>
        <v>22.0</v>
      </c>
      <c r="B25" s="17" t="s">
        <v>33</v>
      </c>
      <c r="C25" s="26">
        <v>566229.0</v>
      </c>
      <c r="D25" s="26">
        <v>501048.0</v>
      </c>
      <c r="E25" s="26">
        <v>313190.0</v>
      </c>
      <c r="F25" s="26">
        <v>40000.0</v>
      </c>
      <c r="G25" s="9">
        <f t="shared" si="1"/>
        <v>147858</v>
      </c>
      <c r="H25" s="9">
        <f t="shared" si="2"/>
        <v>29.50974757</v>
      </c>
      <c r="I25" s="9"/>
      <c r="J25" s="17" t="s">
        <v>76</v>
      </c>
      <c r="K25" s="17" t="s">
        <v>77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5" t="s">
        <v>48</v>
      </c>
      <c r="B26" s="20"/>
      <c r="C26" s="36">
        <f t="shared" ref="C26:G26" si="3">SUM(C4:C25)</f>
        <v>41529799.38</v>
      </c>
      <c r="D26" s="36">
        <f t="shared" si="3"/>
        <v>40488615.88</v>
      </c>
      <c r="E26" s="36">
        <f t="shared" si="3"/>
        <v>27856785.72</v>
      </c>
      <c r="F26" s="36">
        <f t="shared" si="3"/>
        <v>1630865.58</v>
      </c>
      <c r="G26" s="36">
        <f t="shared" si="3"/>
        <v>11000964.58</v>
      </c>
      <c r="H26" s="36">
        <f t="shared" si="2"/>
        <v>27.17051285</v>
      </c>
      <c r="I26" s="51"/>
      <c r="J26" s="25"/>
      <c r="K26" s="25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mergeCells count="8">
    <mergeCell ref="A1:I1"/>
    <mergeCell ref="A2:A3"/>
    <mergeCell ref="B2:B3"/>
    <mergeCell ref="G2:H2"/>
    <mergeCell ref="I2:I3"/>
    <mergeCell ref="J2:J3"/>
    <mergeCell ref="K2:K3"/>
    <mergeCell ref="A26:B26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6.75"/>
    <col customWidth="1" min="3" max="6" width="17.75"/>
    <col customWidth="1" min="7" max="7" width="17.88"/>
    <col customWidth="1" min="8" max="8" width="17.13"/>
    <col customWidth="1" min="10" max="10" width="19.13"/>
    <col customWidth="1" min="11" max="11" width="18.88"/>
  </cols>
  <sheetData>
    <row r="1" ht="29.25" customHeight="1">
      <c r="A1" s="5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9.25" customHeight="1">
      <c r="A2" s="16" t="s">
        <v>36</v>
      </c>
      <c r="B2" s="16" t="s">
        <v>37</v>
      </c>
      <c r="C2" s="17" t="s">
        <v>38</v>
      </c>
      <c r="D2" s="17" t="s">
        <v>39</v>
      </c>
      <c r="E2" s="17" t="s">
        <v>40</v>
      </c>
      <c r="F2" s="17" t="s">
        <v>41</v>
      </c>
      <c r="G2" s="19" t="s">
        <v>42</v>
      </c>
      <c r="H2" s="20"/>
      <c r="I2" s="16" t="s">
        <v>43</v>
      </c>
      <c r="J2" s="16" t="s">
        <v>50</v>
      </c>
      <c r="K2" s="16" t="s">
        <v>51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/>
      <c r="B3" s="21"/>
      <c r="C3" s="17" t="s">
        <v>44</v>
      </c>
      <c r="D3" s="17" t="s">
        <v>44</v>
      </c>
      <c r="E3" s="17" t="s">
        <v>44</v>
      </c>
      <c r="F3" s="17" t="s">
        <v>44</v>
      </c>
      <c r="G3" s="17" t="s">
        <v>45</v>
      </c>
      <c r="H3" s="17" t="s">
        <v>46</v>
      </c>
      <c r="I3" s="21"/>
      <c r="J3" s="21"/>
      <c r="K3" s="2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>
        <v>1.0</v>
      </c>
      <c r="B4" s="17" t="s">
        <v>12</v>
      </c>
      <c r="C4" s="26">
        <v>4041934.25</v>
      </c>
      <c r="D4" s="26">
        <v>5210352.38</v>
      </c>
      <c r="E4" s="26">
        <v>3928538.0</v>
      </c>
      <c r="F4" s="26">
        <v>139504.74</v>
      </c>
      <c r="G4" s="9">
        <f t="shared" ref="G4:G25" si="1">D4-E4-F4</f>
        <v>1142309.64</v>
      </c>
      <c r="H4" s="9">
        <f t="shared" ref="H4:H26" si="2">(G4/D4)*100</f>
        <v>21.92384616</v>
      </c>
      <c r="I4" s="9"/>
      <c r="J4" s="25"/>
      <c r="K4" s="25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2.0</v>
      </c>
      <c r="B5" s="17" t="s">
        <v>13</v>
      </c>
      <c r="C5" s="26">
        <v>6470352.0</v>
      </c>
      <c r="D5" s="26">
        <v>6280879.23</v>
      </c>
      <c r="E5" s="26">
        <v>4498256.0</v>
      </c>
      <c r="F5" s="26">
        <v>296032.72</v>
      </c>
      <c r="G5" s="9">
        <f t="shared" si="1"/>
        <v>1486590.51</v>
      </c>
      <c r="H5" s="9">
        <f t="shared" si="2"/>
        <v>23.6685097</v>
      </c>
      <c r="I5" s="9"/>
      <c r="J5" s="25"/>
      <c r="K5" s="25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3.0</v>
      </c>
      <c r="B6" s="17" t="s">
        <v>14</v>
      </c>
      <c r="C6" s="26">
        <v>3046913.77</v>
      </c>
      <c r="D6" s="26">
        <v>1839637.0</v>
      </c>
      <c r="E6" s="26">
        <v>1347647.0</v>
      </c>
      <c r="F6" s="26">
        <v>60854.47</v>
      </c>
      <c r="G6" s="9">
        <f t="shared" si="1"/>
        <v>431135.53</v>
      </c>
      <c r="H6" s="9">
        <f t="shared" si="2"/>
        <v>23.4359023</v>
      </c>
      <c r="I6" s="9"/>
      <c r="J6" s="25"/>
      <c r="K6" s="25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>
        <v>4.0</v>
      </c>
      <c r="B7" s="17" t="s">
        <v>15</v>
      </c>
      <c r="C7" s="26">
        <v>2620890.0</v>
      </c>
      <c r="D7" s="26">
        <v>2432032.0</v>
      </c>
      <c r="E7" s="26">
        <v>1694530.0</v>
      </c>
      <c r="F7" s="26">
        <v>82371.68</v>
      </c>
      <c r="G7" s="9">
        <f t="shared" si="1"/>
        <v>655130.32</v>
      </c>
      <c r="H7" s="9">
        <f t="shared" si="2"/>
        <v>26.9375699</v>
      </c>
      <c r="I7" s="9"/>
      <c r="J7" s="17" t="s">
        <v>79</v>
      </c>
      <c r="K7" s="17" t="s">
        <v>80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5.0</v>
      </c>
      <c r="B8" s="17" t="s">
        <v>16</v>
      </c>
      <c r="C8" s="48">
        <v>2758912.0</v>
      </c>
      <c r="D8" s="55">
        <v>2644943.44</v>
      </c>
      <c r="E8" s="55">
        <v>1535893.0</v>
      </c>
      <c r="F8" s="55">
        <v>179500.0</v>
      </c>
      <c r="G8" s="9">
        <f t="shared" si="1"/>
        <v>929550.44</v>
      </c>
      <c r="H8" s="9">
        <f t="shared" si="2"/>
        <v>35.14443545</v>
      </c>
      <c r="I8" s="9"/>
      <c r="J8" s="17" t="s">
        <v>94</v>
      </c>
      <c r="K8" s="17" t="s">
        <v>82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>
        <v>6.0</v>
      </c>
      <c r="B9" s="17" t="s">
        <v>17</v>
      </c>
      <c r="C9" s="26">
        <v>2990551.0</v>
      </c>
      <c r="D9" s="26">
        <v>2757228.0</v>
      </c>
      <c r="E9" s="26">
        <v>1993465.0</v>
      </c>
      <c r="F9" s="26">
        <v>82565.0</v>
      </c>
      <c r="G9" s="9">
        <f t="shared" si="1"/>
        <v>681198</v>
      </c>
      <c r="H9" s="9">
        <f t="shared" si="2"/>
        <v>24.70590027</v>
      </c>
      <c r="I9" s="9"/>
      <c r="J9" s="17" t="s">
        <v>62</v>
      </c>
      <c r="K9" s="17" t="s">
        <v>63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7.0</v>
      </c>
      <c r="B10" s="17" t="s">
        <v>18</v>
      </c>
      <c r="C10" s="26">
        <v>1072756.0</v>
      </c>
      <c r="D10" s="26">
        <v>1053096.91</v>
      </c>
      <c r="E10" s="26">
        <v>898869.0</v>
      </c>
      <c r="F10" s="26">
        <v>46900.0</v>
      </c>
      <c r="G10" s="9">
        <f t="shared" si="1"/>
        <v>107327.91</v>
      </c>
      <c r="H10" s="9">
        <f t="shared" si="2"/>
        <v>10.19164609</v>
      </c>
      <c r="I10" s="9"/>
      <c r="J10" s="17" t="s">
        <v>64</v>
      </c>
      <c r="K10" s="17" t="s">
        <v>65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>
        <v>8.0</v>
      </c>
      <c r="B11" s="17" t="s">
        <v>19</v>
      </c>
      <c r="C11" s="26">
        <v>1377391.38</v>
      </c>
      <c r="D11" s="26">
        <v>1337119.64</v>
      </c>
      <c r="E11" s="26">
        <v>1175957.0</v>
      </c>
      <c r="F11" s="26">
        <v>42873.25</v>
      </c>
      <c r="G11" s="9">
        <f t="shared" si="1"/>
        <v>118289.39</v>
      </c>
      <c r="H11" s="9">
        <f t="shared" si="2"/>
        <v>8.846582345</v>
      </c>
      <c r="I11" s="9"/>
      <c r="J11" s="17" t="s">
        <v>66</v>
      </c>
      <c r="K11" s="17" t="s">
        <v>83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>
        <v>9.0</v>
      </c>
      <c r="B12" s="17" t="s">
        <v>20</v>
      </c>
      <c r="C12" s="26">
        <v>3180792.62</v>
      </c>
      <c r="D12" s="26">
        <v>2927511.62</v>
      </c>
      <c r="E12" s="26">
        <v>1743164.0</v>
      </c>
      <c r="F12" s="26">
        <v>335800.0</v>
      </c>
      <c r="G12" s="9">
        <f t="shared" si="1"/>
        <v>848547.62</v>
      </c>
      <c r="H12" s="9">
        <f t="shared" si="2"/>
        <v>28.98528615</v>
      </c>
      <c r="I12" s="9"/>
      <c r="J12" s="17" t="s">
        <v>68</v>
      </c>
      <c r="K12" s="17" t="s">
        <v>69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>
        <v>10.0</v>
      </c>
      <c r="B13" s="17" t="s">
        <v>21</v>
      </c>
      <c r="C13" s="26">
        <v>1044787.38</v>
      </c>
      <c r="D13" s="26">
        <v>908502.0</v>
      </c>
      <c r="E13" s="26">
        <v>551826.0</v>
      </c>
      <c r="F13" s="26">
        <v>71583.12</v>
      </c>
      <c r="G13" s="9">
        <f t="shared" si="1"/>
        <v>285092.88</v>
      </c>
      <c r="H13" s="9">
        <f t="shared" si="2"/>
        <v>31.38054512</v>
      </c>
      <c r="I13" s="9"/>
      <c r="J13" s="25"/>
      <c r="K13" s="25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11.0</v>
      </c>
      <c r="B14" s="17" t="s">
        <v>22</v>
      </c>
      <c r="C14" s="26">
        <v>2096427.0</v>
      </c>
      <c r="D14" s="26">
        <v>2076378.0</v>
      </c>
      <c r="E14" s="26">
        <v>1650343.0</v>
      </c>
      <c r="F14" s="26">
        <v>84592.0</v>
      </c>
      <c r="G14" s="9">
        <f t="shared" si="1"/>
        <v>341443</v>
      </c>
      <c r="H14" s="9">
        <f t="shared" si="2"/>
        <v>16.44416383</v>
      </c>
      <c r="I14" s="9"/>
      <c r="J14" s="17" t="s">
        <v>95</v>
      </c>
      <c r="K14" s="17" t="s">
        <v>96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12.0</v>
      </c>
      <c r="B15" s="17" t="s">
        <v>23</v>
      </c>
      <c r="C15" s="26">
        <v>2051079.0</v>
      </c>
      <c r="D15" s="26">
        <v>3057440.0</v>
      </c>
      <c r="E15" s="26">
        <v>2355590.0</v>
      </c>
      <c r="F15" s="26">
        <v>87092.0</v>
      </c>
      <c r="G15" s="9">
        <f t="shared" si="1"/>
        <v>614758</v>
      </c>
      <c r="H15" s="9">
        <f t="shared" si="2"/>
        <v>20.10695222</v>
      </c>
      <c r="I15" s="9"/>
      <c r="J15" s="25"/>
      <c r="K15" s="25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7">
        <v>13.0</v>
      </c>
      <c r="B16" s="17" t="s">
        <v>24</v>
      </c>
      <c r="C16" s="52">
        <v>1081381.0</v>
      </c>
      <c r="D16" s="26">
        <v>894147.0</v>
      </c>
      <c r="E16" s="26">
        <v>433764.0</v>
      </c>
      <c r="F16" s="26">
        <v>9082.0</v>
      </c>
      <c r="G16" s="9">
        <f t="shared" si="1"/>
        <v>451301</v>
      </c>
      <c r="H16" s="9">
        <f t="shared" si="2"/>
        <v>50.47279698</v>
      </c>
      <c r="I16" s="9"/>
      <c r="J16" s="17" t="s">
        <v>70</v>
      </c>
      <c r="K16" s="17" t="s">
        <v>71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>
        <v>14.0</v>
      </c>
      <c r="B17" s="17" t="s">
        <v>25</v>
      </c>
      <c r="C17" s="26">
        <v>2116782.0</v>
      </c>
      <c r="D17" s="26">
        <v>1997420.0</v>
      </c>
      <c r="E17" s="26">
        <v>1287543.0</v>
      </c>
      <c r="F17" s="26">
        <v>49159.0</v>
      </c>
      <c r="G17" s="9">
        <f t="shared" si="1"/>
        <v>660718</v>
      </c>
      <c r="H17" s="9">
        <f t="shared" si="2"/>
        <v>33.07857136</v>
      </c>
      <c r="I17" s="9"/>
      <c r="J17" s="17" t="s">
        <v>91</v>
      </c>
      <c r="K17" s="17" t="s">
        <v>73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>
        <v>15.0</v>
      </c>
      <c r="B18" s="17" t="s">
        <v>26</v>
      </c>
      <c r="C18" s="26">
        <v>600809.43</v>
      </c>
      <c r="D18" s="26">
        <v>564838.0</v>
      </c>
      <c r="E18" s="26">
        <v>256731.0</v>
      </c>
      <c r="F18" s="26">
        <v>9610.86</v>
      </c>
      <c r="G18" s="9">
        <f t="shared" si="1"/>
        <v>298496.14</v>
      </c>
      <c r="H18" s="9">
        <f t="shared" si="2"/>
        <v>52.84632762</v>
      </c>
      <c r="I18" s="9"/>
      <c r="J18" s="17" t="s">
        <v>74</v>
      </c>
      <c r="K18" s="17" t="s">
        <v>84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>
        <v>16.0</v>
      </c>
      <c r="B19" s="17" t="s">
        <v>27</v>
      </c>
      <c r="C19" s="26">
        <v>1629239.0</v>
      </c>
      <c r="D19" s="26">
        <v>1282268.0</v>
      </c>
      <c r="E19" s="26">
        <v>507339.0</v>
      </c>
      <c r="F19" s="26">
        <v>2041.0</v>
      </c>
      <c r="G19" s="9">
        <f t="shared" si="1"/>
        <v>772888</v>
      </c>
      <c r="H19" s="9">
        <f t="shared" si="2"/>
        <v>60.2750751</v>
      </c>
      <c r="I19" s="9"/>
      <c r="J19" s="17"/>
      <c r="K19" s="17">
        <v>9.70059909E8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>
        <v>17.0</v>
      </c>
      <c r="B20" s="17" t="s">
        <v>28</v>
      </c>
      <c r="C20" s="26">
        <v>150597.12</v>
      </c>
      <c r="D20" s="26">
        <v>139232.0</v>
      </c>
      <c r="E20" s="26">
        <v>63156.0</v>
      </c>
      <c r="F20" s="26">
        <v>10000.0</v>
      </c>
      <c r="G20" s="9">
        <f t="shared" si="1"/>
        <v>66076</v>
      </c>
      <c r="H20" s="9">
        <f t="shared" si="2"/>
        <v>47.45748104</v>
      </c>
      <c r="I20" s="9"/>
      <c r="J20" s="25"/>
      <c r="K20" s="25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>
        <v>18.0</v>
      </c>
      <c r="B21" s="17" t="s">
        <v>29</v>
      </c>
      <c r="C21" s="26">
        <v>586124.05</v>
      </c>
      <c r="D21" s="26">
        <v>517082.77</v>
      </c>
      <c r="E21" s="26">
        <v>298875.0</v>
      </c>
      <c r="F21" s="26">
        <v>18027.0</v>
      </c>
      <c r="G21" s="9">
        <f t="shared" si="1"/>
        <v>200180.77</v>
      </c>
      <c r="H21" s="9">
        <f t="shared" si="2"/>
        <v>38.71348682</v>
      </c>
      <c r="I21" s="9"/>
      <c r="J21" s="17" t="s">
        <v>97</v>
      </c>
      <c r="K21" s="17">
        <v>9.92470958E8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>
        <v>19.0</v>
      </c>
      <c r="B22" s="17" t="s">
        <v>30</v>
      </c>
      <c r="C22" s="26">
        <v>192057.0</v>
      </c>
      <c r="D22" s="26">
        <v>164384.0</v>
      </c>
      <c r="E22" s="26">
        <v>110126.0</v>
      </c>
      <c r="F22" s="26">
        <v>7613.0</v>
      </c>
      <c r="G22" s="9">
        <f t="shared" si="1"/>
        <v>46645</v>
      </c>
      <c r="H22" s="9">
        <f t="shared" si="2"/>
        <v>28.37563266</v>
      </c>
      <c r="I22" s="9"/>
      <c r="J22" s="17" t="s">
        <v>87</v>
      </c>
      <c r="K22" s="17" t="s">
        <v>98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>
        <v>20.0</v>
      </c>
      <c r="B23" s="17" t="s">
        <v>31</v>
      </c>
      <c r="C23" s="26">
        <v>623007.0</v>
      </c>
      <c r="D23" s="26">
        <v>567853.0</v>
      </c>
      <c r="E23" s="26">
        <v>355626.0</v>
      </c>
      <c r="F23" s="26">
        <v>23645.0</v>
      </c>
      <c r="G23" s="9">
        <f t="shared" si="1"/>
        <v>188582</v>
      </c>
      <c r="H23" s="9">
        <f t="shared" si="2"/>
        <v>33.20965109</v>
      </c>
      <c r="I23" s="9"/>
      <c r="J23" s="25"/>
      <c r="K23" s="25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>
        <v>21.0</v>
      </c>
      <c r="B24" s="17" t="s">
        <v>32</v>
      </c>
      <c r="C24" s="26">
        <v>1638272.0</v>
      </c>
      <c r="D24" s="26">
        <v>1526823.0</v>
      </c>
      <c r="E24" s="26">
        <v>789086.0</v>
      </c>
      <c r="F24" s="26">
        <v>23573.0</v>
      </c>
      <c r="G24" s="9">
        <f t="shared" si="1"/>
        <v>714164</v>
      </c>
      <c r="H24" s="9">
        <f t="shared" si="2"/>
        <v>46.77451152</v>
      </c>
      <c r="I24" s="9"/>
      <c r="J24" s="25"/>
      <c r="K24" s="25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>
        <v>22.0</v>
      </c>
      <c r="B25" s="17" t="s">
        <v>33</v>
      </c>
      <c r="C25" s="26">
        <v>605952.0</v>
      </c>
      <c r="D25" s="26">
        <v>536242.0</v>
      </c>
      <c r="E25" s="26">
        <v>298432.0</v>
      </c>
      <c r="F25" s="26">
        <v>65000.0</v>
      </c>
      <c r="G25" s="9">
        <f t="shared" si="1"/>
        <v>172810</v>
      </c>
      <c r="H25" s="9">
        <f t="shared" si="2"/>
        <v>32.22612179</v>
      </c>
      <c r="I25" s="9"/>
      <c r="J25" s="17" t="s">
        <v>76</v>
      </c>
      <c r="K25" s="17" t="s">
        <v>77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5" t="s">
        <v>48</v>
      </c>
      <c r="B26" s="20"/>
      <c r="C26" s="36">
        <f t="shared" ref="C26:G26" si="3">SUM(C4:C25)</f>
        <v>41977007</v>
      </c>
      <c r="D26" s="36">
        <f t="shared" si="3"/>
        <v>40715409.99</v>
      </c>
      <c r="E26" s="36">
        <f t="shared" si="3"/>
        <v>27774756</v>
      </c>
      <c r="F26" s="36">
        <f t="shared" si="3"/>
        <v>1727419.84</v>
      </c>
      <c r="G26" s="36">
        <f t="shared" si="3"/>
        <v>11213234.15</v>
      </c>
      <c r="H26" s="36">
        <f t="shared" si="2"/>
        <v>27.54051636</v>
      </c>
      <c r="I26" s="51"/>
      <c r="J26" s="25"/>
      <c r="K26" s="25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mergeCells count="8">
    <mergeCell ref="A1:I1"/>
    <mergeCell ref="A2:A3"/>
    <mergeCell ref="B2:B3"/>
    <mergeCell ref="G2:H2"/>
    <mergeCell ref="I2:I3"/>
    <mergeCell ref="J2:J3"/>
    <mergeCell ref="K2:K3"/>
    <mergeCell ref="A26:B26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6.75"/>
    <col customWidth="1" min="3" max="6" width="17.75"/>
    <col customWidth="1" min="7" max="7" width="22.88"/>
    <col customWidth="1" min="8" max="8" width="17.13"/>
    <col customWidth="1" min="10" max="10" width="19.13"/>
    <col customWidth="1" min="11" max="11" width="18.88"/>
  </cols>
  <sheetData>
    <row r="1" ht="29.25" customHeight="1">
      <c r="A1" s="56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9.25" customHeight="1">
      <c r="A2" s="16" t="s">
        <v>36</v>
      </c>
      <c r="B2" s="16" t="s">
        <v>37</v>
      </c>
      <c r="C2" s="17" t="s">
        <v>38</v>
      </c>
      <c r="D2" s="17" t="s">
        <v>39</v>
      </c>
      <c r="E2" s="17" t="s">
        <v>40</v>
      </c>
      <c r="F2" s="17" t="s">
        <v>41</v>
      </c>
      <c r="G2" s="19" t="s">
        <v>42</v>
      </c>
      <c r="H2" s="20"/>
      <c r="I2" s="16" t="s">
        <v>43</v>
      </c>
      <c r="J2" s="16" t="s">
        <v>50</v>
      </c>
      <c r="K2" s="16" t="s">
        <v>51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/>
      <c r="B3" s="21"/>
      <c r="C3" s="17" t="s">
        <v>44</v>
      </c>
      <c r="D3" s="17" t="s">
        <v>44</v>
      </c>
      <c r="E3" s="17" t="s">
        <v>44</v>
      </c>
      <c r="F3" s="17" t="s">
        <v>44</v>
      </c>
      <c r="G3" s="17" t="s">
        <v>45</v>
      </c>
      <c r="H3" s="17" t="s">
        <v>46</v>
      </c>
      <c r="I3" s="21"/>
      <c r="J3" s="21"/>
      <c r="K3" s="2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>
        <v>1.0</v>
      </c>
      <c r="B4" s="17" t="s">
        <v>12</v>
      </c>
      <c r="C4" s="26">
        <v>4162051.0</v>
      </c>
      <c r="D4" s="46">
        <v>5095360.5</v>
      </c>
      <c r="E4" s="26">
        <v>3878670.0</v>
      </c>
      <c r="F4" s="26">
        <v>70212.06</v>
      </c>
      <c r="G4" s="9">
        <f t="shared" ref="G4:G10" si="1">D4-E4-F4</f>
        <v>1146478.44</v>
      </c>
      <c r="H4" s="9">
        <f t="shared" ref="H4:H26" si="2">(G4/D4)*100</f>
        <v>22.50043819</v>
      </c>
      <c r="I4" s="9"/>
      <c r="J4" s="17" t="s">
        <v>99</v>
      </c>
      <c r="K4" s="17" t="s">
        <v>100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2.0</v>
      </c>
      <c r="B5" s="17" t="s">
        <v>13</v>
      </c>
      <c r="C5" s="26">
        <v>6501965.4</v>
      </c>
      <c r="D5" s="26">
        <v>6273883.85</v>
      </c>
      <c r="E5" s="26">
        <v>4792447.14</v>
      </c>
      <c r="F5" s="26">
        <v>340609.52</v>
      </c>
      <c r="G5" s="9">
        <f t="shared" si="1"/>
        <v>1140827.19</v>
      </c>
      <c r="H5" s="9">
        <f t="shared" si="2"/>
        <v>18.18374738</v>
      </c>
      <c r="I5" s="9"/>
      <c r="J5" s="25"/>
      <c r="K5" s="25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3.0</v>
      </c>
      <c r="B6" s="17" t="s">
        <v>14</v>
      </c>
      <c r="C6" s="26">
        <v>2900264.76</v>
      </c>
      <c r="D6" s="26">
        <v>1872040.0</v>
      </c>
      <c r="E6" s="26">
        <v>1348280.0</v>
      </c>
      <c r="F6" s="26">
        <v>56494.86</v>
      </c>
      <c r="G6" s="9">
        <f t="shared" si="1"/>
        <v>467265.14</v>
      </c>
      <c r="H6" s="9">
        <f t="shared" si="2"/>
        <v>24.96021132</v>
      </c>
      <c r="I6" s="9"/>
      <c r="J6" s="25"/>
      <c r="K6" s="25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>
        <v>4.0</v>
      </c>
      <c r="B7" s="17" t="s">
        <v>15</v>
      </c>
      <c r="C7" s="26">
        <v>2620773.0</v>
      </c>
      <c r="D7" s="26">
        <v>2450645.0</v>
      </c>
      <c r="E7" s="26">
        <v>1790520.0</v>
      </c>
      <c r="F7" s="26">
        <v>65521.68</v>
      </c>
      <c r="G7" s="9">
        <f t="shared" si="1"/>
        <v>594603.32</v>
      </c>
      <c r="H7" s="9">
        <f t="shared" si="2"/>
        <v>24.26313562</v>
      </c>
      <c r="I7" s="9"/>
      <c r="J7" s="17" t="s">
        <v>79</v>
      </c>
      <c r="K7" s="17" t="s">
        <v>80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5.0</v>
      </c>
      <c r="B8" s="17" t="s">
        <v>16</v>
      </c>
      <c r="C8" s="48">
        <v>2765974.0</v>
      </c>
      <c r="D8" s="48">
        <v>2772873.0</v>
      </c>
      <c r="E8" s="48">
        <v>1621862.0</v>
      </c>
      <c r="F8" s="49">
        <v>185600.0</v>
      </c>
      <c r="G8" s="9">
        <f t="shared" si="1"/>
        <v>965411</v>
      </c>
      <c r="H8" s="9">
        <f t="shared" si="2"/>
        <v>34.81627179</v>
      </c>
      <c r="I8" s="9"/>
      <c r="J8" s="17" t="s">
        <v>101</v>
      </c>
      <c r="K8" s="17" t="s">
        <v>82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>
        <v>6.0</v>
      </c>
      <c r="B9" s="17" t="s">
        <v>17</v>
      </c>
      <c r="C9" s="26">
        <v>2859062.0</v>
      </c>
      <c r="D9" s="26">
        <v>2805867.0</v>
      </c>
      <c r="E9" s="26">
        <v>2111272.0</v>
      </c>
      <c r="F9" s="26">
        <v>79774.0</v>
      </c>
      <c r="G9" s="9">
        <f t="shared" si="1"/>
        <v>614821</v>
      </c>
      <c r="H9" s="9">
        <f t="shared" si="2"/>
        <v>21.91197943</v>
      </c>
      <c r="I9" s="9"/>
      <c r="J9" s="17" t="s">
        <v>62</v>
      </c>
      <c r="K9" s="17" t="s">
        <v>63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7.0</v>
      </c>
      <c r="B10" s="17" t="s">
        <v>18</v>
      </c>
      <c r="C10" s="26">
        <v>1057794.0</v>
      </c>
      <c r="D10" s="26">
        <v>1049773.0</v>
      </c>
      <c r="E10" s="26">
        <v>909749.0</v>
      </c>
      <c r="F10" s="26">
        <v>49034.69</v>
      </c>
      <c r="G10" s="9">
        <f t="shared" si="1"/>
        <v>90989.31</v>
      </c>
      <c r="H10" s="9">
        <f t="shared" si="2"/>
        <v>8.667522407</v>
      </c>
      <c r="I10" s="9"/>
      <c r="J10" s="17" t="s">
        <v>64</v>
      </c>
      <c r="K10" s="17" t="s">
        <v>65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>
        <v>8.0</v>
      </c>
      <c r="B11" s="17" t="s">
        <v>19</v>
      </c>
      <c r="C11" s="26">
        <v>1408545.38</v>
      </c>
      <c r="D11" s="26">
        <v>1372319.85</v>
      </c>
      <c r="E11" s="26">
        <v>1167183.0</v>
      </c>
      <c r="F11" s="26">
        <v>43977.53</v>
      </c>
      <c r="G11" s="26">
        <v>16115.0</v>
      </c>
      <c r="H11" s="9">
        <f t="shared" si="2"/>
        <v>1.174288924</v>
      </c>
      <c r="I11" s="9"/>
      <c r="J11" s="17" t="s">
        <v>66</v>
      </c>
      <c r="K11" s="17" t="s">
        <v>83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>
        <v>9.0</v>
      </c>
      <c r="B12" s="17" t="s">
        <v>20</v>
      </c>
      <c r="C12" s="26">
        <v>2989787.0</v>
      </c>
      <c r="D12" s="26">
        <v>2732752.0</v>
      </c>
      <c r="E12" s="26">
        <v>1751447.0</v>
      </c>
      <c r="F12" s="26">
        <v>244250.0</v>
      </c>
      <c r="G12" s="9">
        <f t="shared" ref="G12:G25" si="3">D12-E12-F12</f>
        <v>737055</v>
      </c>
      <c r="H12" s="9">
        <f t="shared" si="2"/>
        <v>26.97116314</v>
      </c>
      <c r="I12" s="9"/>
      <c r="J12" s="17" t="s">
        <v>68</v>
      </c>
      <c r="K12" s="17" t="s">
        <v>69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>
        <v>10.0</v>
      </c>
      <c r="B13" s="17" t="s">
        <v>21</v>
      </c>
      <c r="C13" s="26">
        <v>1011505.0</v>
      </c>
      <c r="D13" s="26">
        <v>874062.0</v>
      </c>
      <c r="E13" s="26">
        <v>565280.0</v>
      </c>
      <c r="F13" s="26">
        <v>45532.0</v>
      </c>
      <c r="G13" s="9">
        <f t="shared" si="3"/>
        <v>263250</v>
      </c>
      <c r="H13" s="9">
        <f t="shared" si="2"/>
        <v>30.11800078</v>
      </c>
      <c r="I13" s="9"/>
      <c r="J13" s="25"/>
      <c r="K13" s="25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11.0</v>
      </c>
      <c r="B14" s="17" t="s">
        <v>22</v>
      </c>
      <c r="C14" s="26">
        <v>2098319.0</v>
      </c>
      <c r="D14" s="26">
        <v>2065735.0</v>
      </c>
      <c r="E14" s="26">
        <v>1696787.0</v>
      </c>
      <c r="F14" s="26">
        <v>96058.0</v>
      </c>
      <c r="G14" s="9">
        <f t="shared" si="3"/>
        <v>272890</v>
      </c>
      <c r="H14" s="9">
        <f t="shared" si="2"/>
        <v>13.21031013</v>
      </c>
      <c r="I14" s="9"/>
      <c r="J14" s="17" t="s">
        <v>95</v>
      </c>
      <c r="K14" s="17" t="s">
        <v>96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12.0</v>
      </c>
      <c r="B15" s="17" t="s">
        <v>23</v>
      </c>
      <c r="C15" s="26">
        <v>3377627.0</v>
      </c>
      <c r="D15" s="26">
        <v>3285479.0</v>
      </c>
      <c r="E15" s="26">
        <v>2448155.0</v>
      </c>
      <c r="F15" s="26">
        <v>111426.0</v>
      </c>
      <c r="G15" s="9">
        <f t="shared" si="3"/>
        <v>725898</v>
      </c>
      <c r="H15" s="9">
        <f t="shared" si="2"/>
        <v>22.09412996</v>
      </c>
      <c r="I15" s="9"/>
      <c r="J15" s="25"/>
      <c r="K15" s="25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7">
        <v>13.0</v>
      </c>
      <c r="B16" s="17" t="s">
        <v>24</v>
      </c>
      <c r="C16" s="50">
        <v>1073178.0</v>
      </c>
      <c r="D16" s="26">
        <v>870596.0</v>
      </c>
      <c r="E16" s="26">
        <v>458117.0</v>
      </c>
      <c r="F16" s="26">
        <v>8916.0</v>
      </c>
      <c r="G16" s="9">
        <f t="shared" si="3"/>
        <v>403563</v>
      </c>
      <c r="H16" s="9">
        <f t="shared" si="2"/>
        <v>46.35479602</v>
      </c>
      <c r="I16" s="9"/>
      <c r="J16" s="17" t="s">
        <v>102</v>
      </c>
      <c r="K16" s="17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>
        <v>14.0</v>
      </c>
      <c r="B17" s="17" t="s">
        <v>25</v>
      </c>
      <c r="C17" s="26">
        <v>2180694.0</v>
      </c>
      <c r="D17" s="26">
        <v>2028303.0</v>
      </c>
      <c r="E17" s="29">
        <v>1272035.0</v>
      </c>
      <c r="F17" s="26">
        <v>51054.0</v>
      </c>
      <c r="G17" s="9">
        <f t="shared" si="3"/>
        <v>705214</v>
      </c>
      <c r="H17" s="9">
        <f t="shared" si="2"/>
        <v>34.76867115</v>
      </c>
      <c r="I17" s="9"/>
      <c r="J17" s="17" t="s">
        <v>72</v>
      </c>
      <c r="K17" s="17" t="s">
        <v>73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>
        <v>15.0</v>
      </c>
      <c r="B18" s="17" t="s">
        <v>26</v>
      </c>
      <c r="C18" s="26">
        <v>599861.2</v>
      </c>
      <c r="D18" s="26">
        <v>571182.0</v>
      </c>
      <c r="E18" s="26">
        <v>254028.0</v>
      </c>
      <c r="F18" s="26">
        <v>13921.18</v>
      </c>
      <c r="G18" s="9">
        <f t="shared" si="3"/>
        <v>303232.82</v>
      </c>
      <c r="H18" s="9">
        <f t="shared" si="2"/>
        <v>53.08865125</v>
      </c>
      <c r="I18" s="9"/>
      <c r="J18" s="17" t="s">
        <v>103</v>
      </c>
      <c r="K18" s="17" t="s">
        <v>84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>
        <v>16.0</v>
      </c>
      <c r="B19" s="17" t="s">
        <v>27</v>
      </c>
      <c r="C19" s="26">
        <v>1636449.0</v>
      </c>
      <c r="D19" s="26">
        <v>1282080.0</v>
      </c>
      <c r="E19" s="26">
        <v>519853.0</v>
      </c>
      <c r="F19" s="26">
        <v>1640.0</v>
      </c>
      <c r="G19" s="9">
        <f t="shared" si="3"/>
        <v>760587</v>
      </c>
      <c r="H19" s="9">
        <f t="shared" si="2"/>
        <v>59.32445713</v>
      </c>
      <c r="I19" s="9"/>
      <c r="J19" s="17"/>
      <c r="K19" s="17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>
        <v>17.0</v>
      </c>
      <c r="B20" s="17" t="s">
        <v>28</v>
      </c>
      <c r="C20" s="26">
        <v>153013.44</v>
      </c>
      <c r="D20" s="26">
        <v>139219.0</v>
      </c>
      <c r="E20" s="26">
        <v>64404.0</v>
      </c>
      <c r="F20" s="26">
        <v>10000.0</v>
      </c>
      <c r="G20" s="9">
        <f t="shared" si="3"/>
        <v>64815</v>
      </c>
      <c r="H20" s="9">
        <f t="shared" si="2"/>
        <v>46.55614535</v>
      </c>
      <c r="I20" s="9"/>
      <c r="J20" s="25"/>
      <c r="K20" s="25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>
        <v>18.0</v>
      </c>
      <c r="B21" s="17" t="s">
        <v>29</v>
      </c>
      <c r="C21" s="26">
        <v>623409.78</v>
      </c>
      <c r="D21" s="26">
        <v>533620.24</v>
      </c>
      <c r="E21" s="26">
        <v>314031.0</v>
      </c>
      <c r="F21" s="26">
        <v>30800.0</v>
      </c>
      <c r="G21" s="9">
        <f t="shared" si="3"/>
        <v>188789.24</v>
      </c>
      <c r="H21" s="9">
        <f t="shared" si="2"/>
        <v>35.37895039</v>
      </c>
      <c r="I21" s="9"/>
      <c r="J21" s="17" t="s">
        <v>104</v>
      </c>
      <c r="K21" s="17">
        <v>9.92470958E8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>
        <v>19.0</v>
      </c>
      <c r="B22" s="17" t="s">
        <v>30</v>
      </c>
      <c r="C22" s="26">
        <v>185547.0</v>
      </c>
      <c r="D22" s="26">
        <v>156595.0</v>
      </c>
      <c r="E22" s="26">
        <v>109903.0</v>
      </c>
      <c r="F22" s="26">
        <v>7473.51</v>
      </c>
      <c r="G22" s="9">
        <f t="shared" si="3"/>
        <v>39218.49</v>
      </c>
      <c r="H22" s="9">
        <f t="shared" si="2"/>
        <v>25.04453527</v>
      </c>
      <c r="I22" s="9"/>
      <c r="J22" s="17" t="s">
        <v>105</v>
      </c>
      <c r="K22" s="17" t="s">
        <v>106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>
        <v>20.0</v>
      </c>
      <c r="B23" s="17" t="s">
        <v>31</v>
      </c>
      <c r="C23" s="26">
        <v>627955.0</v>
      </c>
      <c r="D23" s="26">
        <v>565754.0</v>
      </c>
      <c r="E23" s="26">
        <v>360887.0</v>
      </c>
      <c r="F23" s="26">
        <v>23452.0</v>
      </c>
      <c r="G23" s="9">
        <f t="shared" si="3"/>
        <v>181415</v>
      </c>
      <c r="H23" s="9">
        <f t="shared" si="2"/>
        <v>32.06605698</v>
      </c>
      <c r="I23" s="9"/>
      <c r="J23" s="25"/>
      <c r="K23" s="25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>
        <v>21.0</v>
      </c>
      <c r="B24" s="17" t="s">
        <v>32</v>
      </c>
      <c r="C24" s="26">
        <v>1709251.0</v>
      </c>
      <c r="D24" s="26">
        <v>1624815.0</v>
      </c>
      <c r="E24" s="26">
        <v>808279.0</v>
      </c>
      <c r="F24" s="26">
        <v>27150.0</v>
      </c>
      <c r="G24" s="9">
        <f t="shared" si="3"/>
        <v>789386</v>
      </c>
      <c r="H24" s="9">
        <f t="shared" si="2"/>
        <v>48.583131</v>
      </c>
      <c r="I24" s="9"/>
      <c r="J24" s="25"/>
      <c r="K24" s="25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>
        <v>22.0</v>
      </c>
      <c r="B25" s="17" t="s">
        <v>33</v>
      </c>
      <c r="C25" s="26">
        <v>620866.0</v>
      </c>
      <c r="D25" s="26">
        <v>545268.0</v>
      </c>
      <c r="E25" s="26">
        <v>319476.0</v>
      </c>
      <c r="F25" s="26">
        <v>60000.0</v>
      </c>
      <c r="G25" s="9">
        <f t="shared" si="3"/>
        <v>165792</v>
      </c>
      <c r="H25" s="9">
        <f t="shared" si="2"/>
        <v>30.40559871</v>
      </c>
      <c r="I25" s="9"/>
      <c r="J25" s="17" t="s">
        <v>76</v>
      </c>
      <c r="K25" s="17" t="s">
        <v>77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5" t="s">
        <v>48</v>
      </c>
      <c r="B26" s="20"/>
      <c r="C26" s="36">
        <f t="shared" ref="C26:G26" si="4">SUM(C4:C25)</f>
        <v>43163891.96</v>
      </c>
      <c r="D26" s="36">
        <f t="shared" si="4"/>
        <v>40968222.44</v>
      </c>
      <c r="E26" s="36">
        <f t="shared" si="4"/>
        <v>28562665.14</v>
      </c>
      <c r="F26" s="36">
        <f t="shared" si="4"/>
        <v>1622897.03</v>
      </c>
      <c r="G26" s="36">
        <f t="shared" si="4"/>
        <v>10637615.95</v>
      </c>
      <c r="H26" s="36">
        <f t="shared" si="2"/>
        <v>25.96552966</v>
      </c>
      <c r="I26" s="51"/>
      <c r="J26" s="25"/>
      <c r="K26" s="25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mergeCells count="8">
    <mergeCell ref="A1:I1"/>
    <mergeCell ref="A2:A3"/>
    <mergeCell ref="B2:B3"/>
    <mergeCell ref="G2:H2"/>
    <mergeCell ref="I2:I3"/>
    <mergeCell ref="J2:J3"/>
    <mergeCell ref="K2:K3"/>
    <mergeCell ref="A26:B26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6.75"/>
    <col customWidth="1" min="3" max="3" width="17.75"/>
    <col customWidth="1" min="4" max="4" width="22.0"/>
    <col customWidth="1" min="5" max="6" width="17.75"/>
    <col customWidth="1" min="7" max="7" width="18.5"/>
    <col customWidth="1" min="8" max="8" width="22.0"/>
    <col customWidth="1" min="10" max="10" width="19.13"/>
    <col customWidth="1" min="11" max="11" width="18.88"/>
    <col customWidth="1" min="12" max="12" width="15.63"/>
  </cols>
  <sheetData>
    <row r="1" ht="29.25" customHeight="1">
      <c r="A1" s="16" t="s">
        <v>36</v>
      </c>
      <c r="B1" s="16" t="s">
        <v>37</v>
      </c>
      <c r="C1" s="26"/>
      <c r="D1" s="26"/>
      <c r="E1" s="26"/>
      <c r="F1" s="26"/>
      <c r="G1" s="57"/>
      <c r="H1" s="58"/>
      <c r="I1" s="59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9.25" customHeight="1">
      <c r="A2" s="21"/>
      <c r="B2" s="21"/>
      <c r="C2" s="17" t="s">
        <v>38</v>
      </c>
      <c r="D2" s="17" t="s">
        <v>39</v>
      </c>
      <c r="E2" s="17" t="s">
        <v>40</v>
      </c>
      <c r="F2" s="17" t="s">
        <v>41</v>
      </c>
      <c r="G2" s="19" t="s">
        <v>42</v>
      </c>
      <c r="H2" s="20"/>
      <c r="I2" s="21"/>
      <c r="J2" s="16" t="s">
        <v>50</v>
      </c>
      <c r="K2" s="16" t="s">
        <v>51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C3" s="17" t="s">
        <v>44</v>
      </c>
      <c r="D3" s="17" t="s">
        <v>44</v>
      </c>
      <c r="E3" s="17" t="s">
        <v>44</v>
      </c>
      <c r="F3" s="17" t="s">
        <v>44</v>
      </c>
      <c r="G3" s="17" t="s">
        <v>45</v>
      </c>
      <c r="H3" s="17" t="s">
        <v>46</v>
      </c>
      <c r="J3" s="21"/>
      <c r="K3" s="2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>
        <v>1.0</v>
      </c>
      <c r="B4" s="17" t="s">
        <v>12</v>
      </c>
      <c r="C4" s="26">
        <v>4099855.0</v>
      </c>
      <c r="D4" s="26">
        <v>4974159.0</v>
      </c>
      <c r="E4" s="26">
        <v>3878670.0</v>
      </c>
      <c r="F4" s="26">
        <v>57217.88</v>
      </c>
      <c r="G4" s="9">
        <f t="shared" ref="G4:G25" si="1">D4-E4-F4</f>
        <v>1038271.12</v>
      </c>
      <c r="H4" s="9">
        <f t="shared" ref="H4:H26" si="2">(G4/D4)*100</f>
        <v>20.87329979</v>
      </c>
      <c r="I4" s="9"/>
      <c r="J4" s="17" t="s">
        <v>99</v>
      </c>
      <c r="K4" s="17" t="s">
        <v>100</v>
      </c>
      <c r="L4" s="60">
        <f>'ต.ค.67'!D4+'พ.ย.67'!D4+'ธ.ค.67'!D4+'ม.ค.68'!D4+'ก.พ.68'!D4+'มี.ค.68'!D4+'เม.ย.68'!D4+'พ.ค.68'!D4+'มิ.ย.68'!D4+'ก.ค.68'!D4+'ส.ค.68'!D4+D4</f>
        <v>61400999.26</v>
      </c>
      <c r="M4" s="60">
        <f>'ต.ค.67'!G4+'พ.ย.67'!G4+'ธ.ค.67'!G4+'ม.ค.68'!G4+'ก.พ.68'!G4+'มี.ค.68'!G4+'เม.ย.68'!G4+'พ.ค.68'!G4+'มิ.ย.68'!G4+'ก.ค.68'!G4+'ส.ค.68'!G4+G4</f>
        <v>13251410.08</v>
      </c>
      <c r="N4" s="60">
        <f t="shared" ref="N4:N26" si="3">(M4/L4)*100</f>
        <v>21.58174987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2.0</v>
      </c>
      <c r="B5" s="17" t="s">
        <v>13</v>
      </c>
      <c r="C5" s="26">
        <v>6653559.0</v>
      </c>
      <c r="D5" s="26">
        <v>6028186.0</v>
      </c>
      <c r="E5" s="26">
        <v>4782625.0</v>
      </c>
      <c r="F5" s="26">
        <v>148428.13</v>
      </c>
      <c r="G5" s="9">
        <f t="shared" si="1"/>
        <v>1097132.87</v>
      </c>
      <c r="H5" s="9">
        <f t="shared" si="2"/>
        <v>18.20005006</v>
      </c>
      <c r="I5" s="9"/>
      <c r="J5" s="17" t="s">
        <v>107</v>
      </c>
      <c r="K5" s="17" t="s">
        <v>108</v>
      </c>
      <c r="L5" s="60">
        <f>'ต.ค.67'!D5+'พ.ย.67'!D5+'ธ.ค.67'!D5+'ม.ค.68'!D5+'ก.พ.68'!D5+'มี.ค.68'!D5+'เม.ย.68'!D5+'พ.ค.68'!D5+'มิ.ย.68'!D5+'ก.ค.68'!D5+'ส.ค.68'!D5+D5</f>
        <v>76403005.46</v>
      </c>
      <c r="M5" s="60">
        <f>'ต.ค.67'!G5+'พ.ย.67'!G5+'ธ.ค.67'!G5+'ม.ค.68'!G5+'ก.พ.68'!G5+'มี.ค.68'!G5+'เม.ย.68'!G5+'พ.ค.68'!G5+'มิ.ย.68'!G5+'ก.ค.68'!G5+'ส.ค.68'!G5+G5</f>
        <v>16958132.9</v>
      </c>
      <c r="N5" s="60">
        <f t="shared" si="3"/>
        <v>22.19563589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3.0</v>
      </c>
      <c r="B6" s="17" t="s">
        <v>14</v>
      </c>
      <c r="C6" s="26">
        <v>2676673.98</v>
      </c>
      <c r="D6" s="26">
        <v>1823662.0</v>
      </c>
      <c r="E6" s="26">
        <v>1275625.0</v>
      </c>
      <c r="F6" s="26">
        <v>58676.56</v>
      </c>
      <c r="G6" s="9">
        <f t="shared" si="1"/>
        <v>489360.44</v>
      </c>
      <c r="H6" s="9">
        <f t="shared" si="2"/>
        <v>26.83394401</v>
      </c>
      <c r="I6" s="9"/>
      <c r="J6" s="25"/>
      <c r="K6" s="25"/>
      <c r="L6" s="60">
        <f>'ต.ค.67'!D6+'พ.ย.67'!D6+'ธ.ค.67'!D6+'ม.ค.68'!D6+'ก.พ.68'!D6+'มี.ค.68'!D6+'เม.ย.68'!D6+'พ.ค.68'!D6+'มิ.ย.68'!D6+'ก.ค.68'!D6+'ส.ค.68'!D6+D6</f>
        <v>21635486.62</v>
      </c>
      <c r="M6" s="60">
        <f>'ต.ค.67'!G6+'พ.ย.67'!G6+'ธ.ค.67'!G6+'ม.ค.68'!G6+'ก.พ.68'!G6+'มี.ค.68'!G6+'เม.ย.68'!G6+'พ.ค.68'!G6+'มิ.ย.68'!G6+'ก.ค.68'!G6+'ส.ค.68'!G6+G6</f>
        <v>5409626.45</v>
      </c>
      <c r="N6" s="60">
        <f t="shared" si="3"/>
        <v>25.00348869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>
        <v>4.0</v>
      </c>
      <c r="B7" s="17" t="s">
        <v>15</v>
      </c>
      <c r="C7" s="26">
        <v>2521963.0</v>
      </c>
      <c r="D7" s="26">
        <v>2273798.0</v>
      </c>
      <c r="E7" s="26">
        <v>1786333.0</v>
      </c>
      <c r="F7" s="26">
        <v>26422.68</v>
      </c>
      <c r="G7" s="9">
        <f t="shared" si="1"/>
        <v>461042.32</v>
      </c>
      <c r="H7" s="9">
        <f t="shared" si="2"/>
        <v>20.27630951</v>
      </c>
      <c r="I7" s="9"/>
      <c r="J7" s="17" t="s">
        <v>79</v>
      </c>
      <c r="K7" s="17" t="s">
        <v>80</v>
      </c>
      <c r="L7" s="60">
        <f>'ต.ค.67'!D7+'พ.ย.67'!D7+'ธ.ค.67'!D7+'ม.ค.68'!D7+'ก.พ.68'!D7+'มี.ค.68'!D7+'เม.ย.68'!D7+'พ.ค.68'!D7+'มิ.ย.68'!D7+'ก.ค.68'!D7+'ส.ค.68'!D7+D7</f>
        <v>27082236</v>
      </c>
      <c r="M7" s="60">
        <f>'ต.ค.67'!G7+'พ.ย.67'!G7+'ธ.ค.67'!G7+'ม.ค.68'!G7+'ก.พ.68'!G7+'มี.ค.68'!G7+'เม.ย.68'!G7+'พ.ค.68'!G7+'มิ.ย.68'!G7+'ก.ค.68'!G7+'ส.ค.68'!G7+G7</f>
        <v>5956079.1</v>
      </c>
      <c r="N7" s="60">
        <f t="shared" si="3"/>
        <v>21.99256775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5.0</v>
      </c>
      <c r="B8" s="17" t="s">
        <v>16</v>
      </c>
      <c r="C8" s="48">
        <v>2495139.0</v>
      </c>
      <c r="D8" s="48">
        <v>2489932.07</v>
      </c>
      <c r="E8" s="48">
        <v>1589503.0</v>
      </c>
      <c r="F8" s="49">
        <v>145800.0</v>
      </c>
      <c r="G8" s="9">
        <f t="shared" si="1"/>
        <v>754629.07</v>
      </c>
      <c r="H8" s="9">
        <f t="shared" si="2"/>
        <v>30.30721517</v>
      </c>
      <c r="I8" s="9"/>
      <c r="J8" s="17"/>
      <c r="K8" s="17"/>
      <c r="L8" s="60">
        <f>'ต.ค.67'!D8+'พ.ย.67'!D8+'ธ.ค.67'!D8+'ม.ค.68'!D8+'ก.พ.68'!D8+'มี.ค.68'!D8+'เม.ย.68'!D8+'พ.ค.68'!D8+'มิ.ย.68'!D8+'ก.ค.68'!D8+'ส.ค.68'!D8+D8</f>
        <v>29919803.87</v>
      </c>
      <c r="M8" s="60">
        <f>'ต.ค.67'!G8+'พ.ย.67'!G8+'ธ.ค.67'!G8+'ม.ค.68'!G8+'ก.พ.68'!G8+'มี.ค.68'!G8+'เม.ย.68'!G8+'พ.ค.68'!G8+'มิ.ย.68'!G8+'ก.ค.68'!G8+'ส.ค.68'!G8+G8</f>
        <v>9009653.87</v>
      </c>
      <c r="N8" s="60">
        <f t="shared" si="3"/>
        <v>30.11267691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>
        <v>6.0</v>
      </c>
      <c r="B9" s="17" t="s">
        <v>17</v>
      </c>
      <c r="C9" s="26">
        <v>2796725.0</v>
      </c>
      <c r="D9" s="26">
        <v>2787725.0</v>
      </c>
      <c r="E9" s="26">
        <v>2079856.0</v>
      </c>
      <c r="F9" s="26">
        <v>81231.0</v>
      </c>
      <c r="G9" s="9">
        <f t="shared" si="1"/>
        <v>626638</v>
      </c>
      <c r="H9" s="9">
        <f t="shared" si="2"/>
        <v>22.47847259</v>
      </c>
      <c r="I9" s="9"/>
      <c r="J9" s="17" t="s">
        <v>62</v>
      </c>
      <c r="K9" s="17" t="s">
        <v>63</v>
      </c>
      <c r="L9" s="60">
        <f>'ต.ค.67'!D9+'พ.ย.67'!D9+'ธ.ค.67'!D9+'ม.ค.68'!D9+'ก.พ.68'!D9+'มี.ค.68'!D9+'เม.ย.68'!D9+'พ.ค.68'!D9+'มิ.ย.68'!D9+'ก.ค.68'!D9+'ส.ค.68'!D9+D9</f>
        <v>31974378</v>
      </c>
      <c r="M9" s="60">
        <f>'ต.ค.67'!G9+'พ.ย.67'!G9+'ธ.ค.67'!G9+'ม.ค.68'!G9+'ก.พ.68'!G9+'มี.ค.68'!G9+'เม.ย.68'!G9+'พ.ค.68'!G9+'มิ.ย.68'!G9+'ก.ค.68'!G9+'ส.ค.68'!G9+G9</f>
        <v>6985582.38</v>
      </c>
      <c r="N9" s="60">
        <f t="shared" si="3"/>
        <v>21.84743791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7.0</v>
      </c>
      <c r="B10" s="17" t="s">
        <v>18</v>
      </c>
      <c r="C10" s="26">
        <v>1002662.3</v>
      </c>
      <c r="D10" s="26">
        <v>993499.0</v>
      </c>
      <c r="E10" s="26">
        <v>856019.0</v>
      </c>
      <c r="F10" s="26">
        <v>46516.81</v>
      </c>
      <c r="G10" s="9">
        <f t="shared" si="1"/>
        <v>90963.19</v>
      </c>
      <c r="H10" s="9">
        <f t="shared" si="2"/>
        <v>9.155841123</v>
      </c>
      <c r="I10" s="9"/>
      <c r="J10" s="17" t="s">
        <v>64</v>
      </c>
      <c r="K10" s="17" t="s">
        <v>65</v>
      </c>
      <c r="L10" s="60">
        <f>'ต.ค.67'!D10+'พ.ย.67'!D10+'ธ.ค.67'!D10+'ม.ค.68'!D10+'ก.พ.68'!D10+'มี.ค.68'!D10+'เม.ย.68'!D10+'พ.ค.68'!D10+'มิ.ย.68'!D10+'ก.ค.68'!D10+'ส.ค.68'!D10+D10</f>
        <v>12854518.91</v>
      </c>
      <c r="M10" s="60">
        <f>'ต.ค.67'!G10+'พ.ย.67'!G10+'ธ.ค.67'!G10+'ม.ค.68'!G10+'ก.พ.68'!G10+'มี.ค.68'!G10+'เม.ย.68'!G10+'พ.ค.68'!G10+'มิ.ย.68'!G10+'ก.ค.68'!G10+'ส.ค.68'!G10+G10</f>
        <v>1682759.3</v>
      </c>
      <c r="N10" s="60">
        <f t="shared" si="3"/>
        <v>13.09079952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>
        <v>8.0</v>
      </c>
      <c r="B11" s="17" t="s">
        <v>19</v>
      </c>
      <c r="C11" s="26">
        <v>1344421.18</v>
      </c>
      <c r="D11" s="26">
        <v>1296595.5</v>
      </c>
      <c r="E11" s="29">
        <v>1155904.0</v>
      </c>
      <c r="F11" s="26">
        <v>44638.29</v>
      </c>
      <c r="G11" s="9">
        <f t="shared" si="1"/>
        <v>96053.21</v>
      </c>
      <c r="H11" s="9">
        <f t="shared" si="2"/>
        <v>7.40810916</v>
      </c>
      <c r="I11" s="9"/>
      <c r="J11" s="17" t="s">
        <v>109</v>
      </c>
      <c r="K11" s="17" t="s">
        <v>110</v>
      </c>
      <c r="L11" s="60">
        <f>'ต.ค.67'!D11+'พ.ย.67'!D11+'ธ.ค.67'!D11+'ม.ค.68'!D11+'ก.พ.68'!D11+'มี.ค.68'!D11+'เม.ย.68'!D11+'พ.ค.68'!D11+'มิ.ย.68'!D11+'ก.ค.68'!D11+'ส.ค.68'!D11+D11</f>
        <v>15755562.63</v>
      </c>
      <c r="M11" s="60">
        <f>'ต.ค.67'!G11+'พ.ย.67'!G11+'ธ.ค.67'!G11+'ม.ค.68'!G11+'ก.พ.68'!G11+'มี.ค.68'!G11+'เม.ย.68'!G11+'พ.ค.68'!G11+'มิ.ย.68'!G11+'ก.ค.68'!G11+'ส.ค.68'!G11+G11</f>
        <v>1369375.16</v>
      </c>
      <c r="N11" s="60">
        <f t="shared" si="3"/>
        <v>8.691375815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>
        <v>9.0</v>
      </c>
      <c r="B12" s="17" t="s">
        <v>20</v>
      </c>
      <c r="C12" s="26">
        <v>2840544.0</v>
      </c>
      <c r="D12" s="26">
        <v>2573214.0</v>
      </c>
      <c r="E12" s="26">
        <v>1752101.0</v>
      </c>
      <c r="F12" s="26">
        <v>233250.0</v>
      </c>
      <c r="G12" s="9">
        <f t="shared" si="1"/>
        <v>587863</v>
      </c>
      <c r="H12" s="9">
        <f t="shared" si="2"/>
        <v>22.84547651</v>
      </c>
      <c r="I12" s="9"/>
      <c r="J12" s="17" t="s">
        <v>68</v>
      </c>
      <c r="K12" s="17" t="s">
        <v>69</v>
      </c>
      <c r="L12" s="60">
        <f>'ต.ค.67'!D12+'พ.ย.67'!D12+'ธ.ค.67'!D12+'ม.ค.68'!D12+'ก.พ.68'!D12+'มี.ค.68'!D12+'เม.ย.68'!D12+'พ.ค.68'!D12+'มิ.ย.68'!D12+'ก.ค.68'!D12+'ส.ค.68'!D12+D12</f>
        <v>31528997.09</v>
      </c>
      <c r="M12" s="60">
        <f>'ต.ค.67'!G12+'พ.ย.67'!G12+'ธ.ค.67'!G12+'ม.ค.68'!G12+'ก.พ.68'!G12+'มี.ค.68'!G12+'เม.ย.68'!G12+'พ.ค.68'!G12+'มิ.ย.68'!G12+'ก.ค.68'!G12+'ส.ค.68'!G12+G12</f>
        <v>8600025.09</v>
      </c>
      <c r="N12" s="60">
        <f t="shared" si="3"/>
        <v>27.27655772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>
        <v>10.0</v>
      </c>
      <c r="B13" s="17" t="s">
        <v>21</v>
      </c>
      <c r="C13" s="26">
        <v>855996.58</v>
      </c>
      <c r="D13" s="61">
        <v>773365.0</v>
      </c>
      <c r="E13" s="26">
        <v>547414.0</v>
      </c>
      <c r="F13" s="26">
        <v>5908.0</v>
      </c>
      <c r="G13" s="9">
        <f t="shared" si="1"/>
        <v>220043</v>
      </c>
      <c r="H13" s="9">
        <f t="shared" si="2"/>
        <v>28.45267112</v>
      </c>
      <c r="I13" s="9"/>
      <c r="J13" s="25"/>
      <c r="K13" s="25"/>
      <c r="L13" s="60">
        <f>'ต.ค.67'!D13+'พ.ย.67'!D13+'ธ.ค.67'!D13+'ม.ค.68'!D13+'ก.พ.68'!D13+'มี.ค.68'!D13+'เม.ย.68'!D13+'พ.ค.68'!D13+'มิ.ย.68'!D13+'ก.ค.68'!D13+'ส.ค.68'!D13+D13</f>
        <v>10535431</v>
      </c>
      <c r="M13" s="60">
        <f>'ต.ค.67'!G13+'พ.ย.67'!G13+'ธ.ค.67'!G13+'ม.ค.68'!G13+'ก.พ.68'!G13+'มี.ค.68'!G13+'เม.ย.68'!G13+'พ.ค.68'!G13+'มิ.ย.68'!G13+'ก.ค.68'!G13+'ส.ค.68'!G13+G13</f>
        <v>3287725.58</v>
      </c>
      <c r="N13" s="60">
        <f t="shared" si="3"/>
        <v>31.20637001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11.0</v>
      </c>
      <c r="B14" s="17" t="s">
        <v>22</v>
      </c>
      <c r="C14" s="26">
        <v>2005561.0</v>
      </c>
      <c r="D14" s="26">
        <v>1957885.0</v>
      </c>
      <c r="E14" s="26">
        <v>1659979.0</v>
      </c>
      <c r="F14" s="26">
        <v>81406.0</v>
      </c>
      <c r="G14" s="9">
        <f t="shared" si="1"/>
        <v>216500</v>
      </c>
      <c r="H14" s="9">
        <f t="shared" si="2"/>
        <v>11.05785069</v>
      </c>
      <c r="I14" s="9"/>
      <c r="J14" s="17" t="s">
        <v>95</v>
      </c>
      <c r="K14" s="17" t="s">
        <v>96</v>
      </c>
      <c r="L14" s="60">
        <f>'ต.ค.67'!D14+'พ.ย.67'!D14+'ธ.ค.67'!D14+'ม.ค.68'!D14+'ก.พ.68'!D14+'มี.ค.68'!D14+'เม.ย.68'!D14+'พ.ค.68'!D14+'มิ.ย.68'!D14+'ก.ค.68'!D14+'ส.ค.68'!D14+D14</f>
        <v>24284106</v>
      </c>
      <c r="M14" s="60">
        <f>'ต.ค.67'!G14+'พ.ย.67'!G14+'ธ.ค.67'!G14+'ม.ค.68'!G14+'ก.พ.68'!G14+'มี.ค.68'!G14+'เม.ย.68'!G14+'พ.ค.68'!G14+'มิ.ย.68'!G14+'ก.ค.68'!G14+'ส.ค.68'!G14+G14</f>
        <v>3372110.91</v>
      </c>
      <c r="N14" s="60">
        <f t="shared" si="3"/>
        <v>13.88608216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12.0</v>
      </c>
      <c r="B15" s="17" t="s">
        <v>23</v>
      </c>
      <c r="C15" s="26">
        <v>3598117.0</v>
      </c>
      <c r="D15" s="26">
        <v>3329687.0</v>
      </c>
      <c r="E15" s="26">
        <v>2410991.0</v>
      </c>
      <c r="F15" s="26">
        <v>114047.0</v>
      </c>
      <c r="G15" s="9">
        <f t="shared" si="1"/>
        <v>804649</v>
      </c>
      <c r="H15" s="9">
        <f t="shared" si="2"/>
        <v>24.16590508</v>
      </c>
      <c r="I15" s="9"/>
      <c r="J15" s="25"/>
      <c r="K15" s="25"/>
      <c r="L15" s="60">
        <f>'ต.ค.67'!D15+'พ.ย.67'!D15+'ธ.ค.67'!D15+'ม.ค.68'!D15+'ก.พ.68'!D15+'มี.ค.68'!D15+'เม.ย.68'!D15+'พ.ค.68'!D15+'มิ.ย.68'!D15+'ก.ค.68'!D15+'ส.ค.68'!D15+D15</f>
        <v>41423759</v>
      </c>
      <c r="M15" s="60">
        <f>'ต.ค.67'!G15+'พ.ย.67'!G15+'ธ.ค.67'!G15+'ม.ค.68'!G15+'ก.พ.68'!G15+'มี.ค.68'!G15+'เม.ย.68'!G15+'พ.ค.68'!G15+'มิ.ย.68'!G15+'ก.ค.68'!G15+'ส.ค.68'!G15+G15</f>
        <v>11418097</v>
      </c>
      <c r="N15" s="60">
        <f t="shared" si="3"/>
        <v>27.5641257</v>
      </c>
      <c r="O15" s="14"/>
      <c r="P15" s="14"/>
      <c r="Q15" s="14"/>
      <c r="R15" s="14"/>
      <c r="S15" s="13" t="s">
        <v>111</v>
      </c>
      <c r="T15" s="14"/>
      <c r="U15" s="14"/>
      <c r="V15" s="14"/>
      <c r="W15" s="14"/>
      <c r="X15" s="14"/>
      <c r="Y15" s="14"/>
      <c r="Z15" s="14"/>
    </row>
    <row r="16">
      <c r="A16" s="17">
        <v>13.0</v>
      </c>
      <c r="B16" s="17" t="s">
        <v>24</v>
      </c>
      <c r="C16" s="50">
        <v>1047252.0</v>
      </c>
      <c r="D16" s="26">
        <v>824454.0</v>
      </c>
      <c r="E16" s="26">
        <v>443554.0</v>
      </c>
      <c r="F16" s="26">
        <v>9124.0</v>
      </c>
      <c r="G16" s="9">
        <f t="shared" si="1"/>
        <v>371776</v>
      </c>
      <c r="H16" s="9">
        <f t="shared" si="2"/>
        <v>45.09360134</v>
      </c>
      <c r="I16" s="9"/>
      <c r="J16" s="17" t="s">
        <v>102</v>
      </c>
      <c r="K16" s="17"/>
      <c r="L16" s="60">
        <f>'ต.ค.67'!D16+'พ.ย.67'!D16+'ธ.ค.67'!D16+'ม.ค.68'!D16+'ก.พ.68'!D16+'มี.ค.68'!D16+'เม.ย.68'!D16+'พ.ค.68'!D16+'มิ.ย.68'!D16+'ก.ค.68'!D16+'ส.ค.68'!D16+D16</f>
        <v>10803416</v>
      </c>
      <c r="M16" s="60">
        <f>'ต.ค.67'!G16+'พ.ย.67'!G16+'ธ.ค.67'!G16+'ม.ค.68'!G16+'ก.พ.68'!G16+'มี.ค.68'!G16+'เม.ย.68'!G16+'พ.ค.68'!G16+'มิ.ย.68'!G16+'ก.ค.68'!G16+'ส.ค.68'!G16+G16</f>
        <v>5109425</v>
      </c>
      <c r="N16" s="60">
        <f t="shared" si="3"/>
        <v>47.29453166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>
        <v>14.0</v>
      </c>
      <c r="B17" s="17" t="s">
        <v>25</v>
      </c>
      <c r="C17" s="26">
        <v>2177802.0</v>
      </c>
      <c r="D17" s="26">
        <v>1953689.0</v>
      </c>
      <c r="E17" s="29">
        <v>1220348.0</v>
      </c>
      <c r="F17" s="26">
        <v>47214.0</v>
      </c>
      <c r="G17" s="9">
        <f t="shared" si="1"/>
        <v>686127</v>
      </c>
      <c r="H17" s="9">
        <f t="shared" si="2"/>
        <v>35.11956099</v>
      </c>
      <c r="I17" s="9"/>
      <c r="J17" s="17" t="s">
        <v>72</v>
      </c>
      <c r="K17" s="17" t="s">
        <v>73</v>
      </c>
      <c r="L17" s="60">
        <f>'ต.ค.67'!D17+'พ.ย.67'!D17+'ธ.ค.67'!D17+'ม.ค.68'!D17+'ก.พ.68'!D17+'มี.ค.68'!D17+'เม.ย.68'!D17+'พ.ค.68'!D17+'มิ.ย.68'!D17+'ก.ค.68'!D17+'ส.ค.68'!D17+D17</f>
        <v>23869587</v>
      </c>
      <c r="M17" s="60">
        <f>'ต.ค.67'!G17+'พ.ย.67'!G17+'ธ.ค.67'!G17+'ม.ค.68'!G17+'ก.พ.68'!G17+'มี.ค.68'!G17+'เม.ย.68'!G17+'พ.ค.68'!G17+'มิ.ย.68'!G17+'ก.ค.68'!G17+'ส.ค.68'!G17+G17</f>
        <v>7581367</v>
      </c>
      <c r="N17" s="60">
        <f t="shared" si="3"/>
        <v>31.76161783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>
        <v>15.0</v>
      </c>
      <c r="B18" s="17" t="s">
        <v>26</v>
      </c>
      <c r="C18" s="26">
        <v>580675.68</v>
      </c>
      <c r="D18" s="26">
        <v>559476.0</v>
      </c>
      <c r="E18" s="26">
        <v>245542.0</v>
      </c>
      <c r="F18" s="26">
        <v>3967.41</v>
      </c>
      <c r="G18" s="9">
        <f t="shared" si="1"/>
        <v>309966.59</v>
      </c>
      <c r="H18" s="9">
        <f t="shared" si="2"/>
        <v>55.40301818</v>
      </c>
      <c r="I18" s="9"/>
      <c r="J18" s="17" t="s">
        <v>74</v>
      </c>
      <c r="K18" s="17" t="s">
        <v>84</v>
      </c>
      <c r="L18" s="60">
        <f>'ต.ค.67'!D18+'พ.ย.67'!D18+'ธ.ค.67'!D18+'ม.ค.68'!D18+'ก.พ.68'!D18+'มี.ค.68'!D18+'เม.ย.68'!D18+'พ.ค.68'!D18+'มิ.ย.68'!D18+'ก.ค.68'!D18+'ส.ค.68'!D18+D18</f>
        <v>6471887</v>
      </c>
      <c r="M18" s="60">
        <f>'ต.ค.67'!G18+'พ.ย.67'!G18+'ธ.ค.67'!G18+'ม.ค.68'!G18+'ก.พ.68'!G18+'มี.ค.68'!G18+'เม.ย.68'!G18+'พ.ค.68'!G18+'มิ.ย.68'!G18+'ก.ค.68'!G18+'ส.ค.68'!G18+G18</f>
        <v>3166792.34</v>
      </c>
      <c r="N18" s="60">
        <f t="shared" si="3"/>
        <v>48.93151472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>
        <v>16.0</v>
      </c>
      <c r="B19" s="17" t="s">
        <v>27</v>
      </c>
      <c r="C19" s="26">
        <v>1560951.0</v>
      </c>
      <c r="D19" s="26">
        <v>1211355.0</v>
      </c>
      <c r="E19" s="26">
        <v>508034.0</v>
      </c>
      <c r="F19" s="26">
        <v>703.0</v>
      </c>
      <c r="G19" s="9">
        <f t="shared" si="1"/>
        <v>702618</v>
      </c>
      <c r="H19" s="9">
        <f t="shared" si="2"/>
        <v>58.00264993</v>
      </c>
      <c r="I19" s="9"/>
      <c r="J19" s="17"/>
      <c r="K19" s="17"/>
      <c r="L19" s="60">
        <f>'ต.ค.67'!D19+'พ.ย.67'!D19+'ธ.ค.67'!D19+'ม.ค.68'!D19+'ก.พ.68'!D19+'มี.ค.68'!D19+'เม.ย.68'!D19+'พ.ค.68'!D19+'มิ.ย.68'!D19+'ก.ค.68'!D19+'ส.ค.68'!D19+D19</f>
        <v>16244772.1</v>
      </c>
      <c r="M19" s="60">
        <f>'ต.ค.67'!G19+'พ.ย.67'!G19+'ธ.ค.67'!G19+'ม.ค.68'!G19+'ก.พ.68'!G19+'มี.ค.68'!G19+'เม.ย.68'!G19+'พ.ค.68'!G19+'มิ.ย.68'!G19+'ก.ค.68'!G19+'ส.ค.68'!G19+G19</f>
        <v>9591867.1</v>
      </c>
      <c r="N19" s="60">
        <f t="shared" si="3"/>
        <v>59.04587052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>
        <v>17.0</v>
      </c>
      <c r="B20" s="17" t="s">
        <v>28</v>
      </c>
      <c r="C20" s="26">
        <v>158267.52</v>
      </c>
      <c r="D20" s="26">
        <v>137841.0</v>
      </c>
      <c r="E20" s="26">
        <v>63168.0</v>
      </c>
      <c r="F20" s="26">
        <v>10000.0</v>
      </c>
      <c r="G20" s="9">
        <f t="shared" si="1"/>
        <v>64673</v>
      </c>
      <c r="H20" s="9">
        <f t="shared" si="2"/>
        <v>46.91855108</v>
      </c>
      <c r="I20" s="9"/>
      <c r="J20" s="25"/>
      <c r="K20" s="25"/>
      <c r="L20" s="60">
        <f>'ต.ค.67'!D20+'พ.ย.67'!D20+'ธ.ค.67'!D20+'ม.ค.68'!D20+'ก.พ.68'!D20+'มี.ค.68'!D20+'เม.ย.68'!D20+'พ.ค.68'!D20+'มิ.ย.68'!D20+'ก.ค.68'!D20+'ส.ค.68'!D20+D20</f>
        <v>1732978</v>
      </c>
      <c r="M20" s="60">
        <f>'ต.ค.67'!G20+'พ.ย.67'!G20+'ธ.ค.67'!G20+'ม.ค.68'!G20+'ก.พ.68'!G20+'มี.ค.68'!G20+'เม.ย.68'!G20+'พ.ค.68'!G20+'มิ.ย.68'!G20+'ก.ค.68'!G20+'ส.ค.68'!G20+G20</f>
        <v>733163</v>
      </c>
      <c r="N20" s="60">
        <f t="shared" si="3"/>
        <v>42.30653822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>
        <v>18.0</v>
      </c>
      <c r="B21" s="17" t="s">
        <v>29</v>
      </c>
      <c r="C21" s="26">
        <v>625420.58</v>
      </c>
      <c r="D21" s="26">
        <v>529461.3</v>
      </c>
      <c r="E21" s="26">
        <v>307885.0</v>
      </c>
      <c r="F21" s="26">
        <v>33300.0</v>
      </c>
      <c r="G21" s="9">
        <f t="shared" si="1"/>
        <v>188276.3</v>
      </c>
      <c r="H21" s="9">
        <f t="shared" si="2"/>
        <v>35.55997388</v>
      </c>
      <c r="I21" s="9"/>
      <c r="J21" s="17"/>
      <c r="K21" s="17"/>
      <c r="L21" s="60">
        <f>'ต.ค.67'!D21+'พ.ย.67'!D21+'ธ.ค.67'!D21+'ม.ค.68'!D21+'ก.พ.68'!D21+'มี.ค.68'!D21+'เม.ย.68'!D21+'พ.ค.68'!D21+'มิ.ย.68'!D21+'ก.ค.68'!D21+'ส.ค.68'!D21+D21</f>
        <v>6417182.02</v>
      </c>
      <c r="M21" s="60">
        <f>'ต.ค.67'!G21+'พ.ย.67'!G21+'ธ.ค.67'!G21+'ม.ค.68'!G21+'ก.พ.68'!G21+'มี.ค.68'!G21+'เม.ย.68'!G21+'พ.ค.68'!G21+'มิ.ย.68'!G21+'ก.ค.68'!G21+'ส.ค.68'!G21+G21</f>
        <v>2437358.02</v>
      </c>
      <c r="N21" s="60">
        <f t="shared" si="3"/>
        <v>37.98174981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>
        <v>19.0</v>
      </c>
      <c r="B22" s="17" t="s">
        <v>30</v>
      </c>
      <c r="C22" s="26">
        <v>177102.0</v>
      </c>
      <c r="D22" s="26">
        <v>147567.0</v>
      </c>
      <c r="E22" s="26">
        <v>113719.0</v>
      </c>
      <c r="F22" s="26">
        <v>5141.89</v>
      </c>
      <c r="G22" s="9">
        <f t="shared" si="1"/>
        <v>28706.11</v>
      </c>
      <c r="H22" s="9">
        <f t="shared" si="2"/>
        <v>19.45293324</v>
      </c>
      <c r="I22" s="9"/>
      <c r="J22" s="17" t="s">
        <v>105</v>
      </c>
      <c r="K22" s="17" t="s">
        <v>106</v>
      </c>
      <c r="L22" s="60">
        <f>'ต.ค.67'!D22+'พ.ย.67'!D22+'ธ.ค.67'!D22+'ม.ค.68'!D22+'ก.พ.68'!D22+'มี.ค.68'!D22+'เม.ย.68'!D22+'พ.ค.68'!D22+'มิ.ย.68'!D22+'ก.ค.68'!D22+'ส.ค.68'!D22+D22</f>
        <v>1821485</v>
      </c>
      <c r="M22" s="60">
        <f>'ต.ค.67'!G22+'พ.ย.67'!G22+'ธ.ค.67'!G22+'ม.ค.68'!G22+'ก.พ.68'!G22+'มี.ค.68'!G22+'เม.ย.68'!G22+'พ.ค.68'!G22+'มิ.ย.68'!G22+'ก.ค.68'!G22+'ส.ค.68'!G22+G22</f>
        <v>381436.27</v>
      </c>
      <c r="N22" s="60">
        <f t="shared" si="3"/>
        <v>20.94095038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>
        <v>20.0</v>
      </c>
      <c r="B23" s="17" t="s">
        <v>31</v>
      </c>
      <c r="C23" s="26">
        <v>613674.0</v>
      </c>
      <c r="D23" s="26">
        <v>581983.0</v>
      </c>
      <c r="E23" s="26">
        <v>347733.0</v>
      </c>
      <c r="F23" s="26">
        <v>23662.0</v>
      </c>
      <c r="G23" s="9">
        <f t="shared" si="1"/>
        <v>210588</v>
      </c>
      <c r="H23" s="9">
        <f t="shared" si="2"/>
        <v>36.18456209</v>
      </c>
      <c r="I23" s="9"/>
      <c r="J23" s="25"/>
      <c r="K23" s="25"/>
      <c r="L23" s="60">
        <f>'ต.ค.67'!D23+'พ.ย.67'!D23+'ธ.ค.67'!D23+'ม.ค.68'!D23+'ก.พ.68'!D23+'มี.ค.68'!D23+'เม.ย.68'!D23+'พ.ค.68'!D23+'มิ.ย.68'!D23+'ก.ค.68'!D23+'ส.ค.68'!D23+D23</f>
        <v>7319562</v>
      </c>
      <c r="M23" s="60">
        <f>'ต.ค.67'!G23+'พ.ย.67'!G23+'ธ.ค.67'!G23+'ม.ค.68'!G23+'ก.พ.68'!G23+'มี.ค.68'!G23+'เม.ย.68'!G23+'พ.ค.68'!G23+'มิ.ย.68'!G23+'ก.ค.68'!G23+'ส.ค.68'!G23+G23</f>
        <v>2372089</v>
      </c>
      <c r="N23" s="60">
        <f t="shared" si="3"/>
        <v>32.40752657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>
        <v>21.0</v>
      </c>
      <c r="B24" s="17" t="s">
        <v>32</v>
      </c>
      <c r="C24" s="26">
        <v>1670011.0</v>
      </c>
      <c r="D24" s="26">
        <v>1594572.0</v>
      </c>
      <c r="E24" s="26">
        <v>796225.0</v>
      </c>
      <c r="F24" s="26">
        <v>22055.0</v>
      </c>
      <c r="G24" s="9">
        <f t="shared" si="1"/>
        <v>776292</v>
      </c>
      <c r="H24" s="9">
        <f t="shared" si="2"/>
        <v>48.68340846</v>
      </c>
      <c r="I24" s="9"/>
      <c r="J24" s="25"/>
      <c r="K24" s="25"/>
      <c r="L24" s="60">
        <f>'ต.ค.67'!D24+'พ.ย.67'!D24+'ธ.ค.67'!D24+'ม.ค.68'!D24+'ก.พ.68'!D24+'มี.ค.68'!D24+'เม.ย.68'!D24+'พ.ค.68'!D24+'มิ.ย.68'!D24+'ก.ค.68'!D24+'ส.ค.68'!D24+D24</f>
        <v>18954093</v>
      </c>
      <c r="M24" s="60">
        <f>'ต.ค.67'!G24+'พ.ย.67'!G24+'ธ.ค.67'!G24+'ม.ค.68'!G24+'ก.พ.68'!G24+'มี.ค.68'!G24+'เม.ย.68'!G24+'พ.ค.68'!G24+'มิ.ย.68'!G24+'ก.ค.68'!G24+'ส.ค.68'!G24+G24</f>
        <v>8842890.59</v>
      </c>
      <c r="N24" s="60">
        <f t="shared" si="3"/>
        <v>46.65425346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>
        <v>22.0</v>
      </c>
      <c r="B25" s="17" t="s">
        <v>33</v>
      </c>
      <c r="C25" s="26">
        <v>561717.0</v>
      </c>
      <c r="D25" s="26">
        <v>531730.0</v>
      </c>
      <c r="E25" s="26">
        <v>310409.0</v>
      </c>
      <c r="F25" s="26">
        <v>65000.0</v>
      </c>
      <c r="G25" s="9">
        <f t="shared" si="1"/>
        <v>156321</v>
      </c>
      <c r="H25" s="9">
        <f t="shared" si="2"/>
        <v>29.39856694</v>
      </c>
      <c r="I25" s="9"/>
      <c r="J25" s="17" t="s">
        <v>76</v>
      </c>
      <c r="K25" s="17" t="s">
        <v>77</v>
      </c>
      <c r="L25" s="60">
        <f>'ต.ค.67'!D25+'พ.ย.67'!D25+'ธ.ค.67'!D25+'ม.ค.68'!D25+'ก.พ.68'!D25+'มี.ค.68'!D25+'เม.ย.68'!D25+'พ.ค.68'!D25+'มิ.ย.68'!D25+'ก.ค.68'!D25+'ส.ค.68'!D25+D25</f>
        <v>6273005</v>
      </c>
      <c r="M25" s="60">
        <f>'ต.ค.67'!G25+'พ.ย.67'!G25+'ธ.ค.67'!G25+'ม.ค.68'!G25+'ก.พ.68'!G25+'มี.ค.68'!G25+'เม.ย.68'!G25+'พ.ค.68'!G25+'มิ.ย.68'!G25+'ก.ค.68'!G25+'ส.ค.68'!G25+G25</f>
        <v>2027649</v>
      </c>
      <c r="N25" s="60">
        <f t="shared" si="3"/>
        <v>32.323408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5" t="s">
        <v>48</v>
      </c>
      <c r="B26" s="20"/>
      <c r="C26" s="36">
        <f t="shared" ref="C26:G26" si="4">SUM(C4:C25)</f>
        <v>42064089.82</v>
      </c>
      <c r="D26" s="36">
        <f t="shared" si="4"/>
        <v>39373835.87</v>
      </c>
      <c r="E26" s="36">
        <f t="shared" si="4"/>
        <v>28131637</v>
      </c>
      <c r="F26" s="36">
        <f t="shared" si="4"/>
        <v>1263709.65</v>
      </c>
      <c r="G26" s="36">
        <f t="shared" si="4"/>
        <v>9978489.22</v>
      </c>
      <c r="H26" s="36">
        <f t="shared" si="2"/>
        <v>25.34294411</v>
      </c>
      <c r="I26" s="51"/>
      <c r="J26" s="25"/>
      <c r="K26" s="25"/>
      <c r="L26" s="60">
        <f>'ต.ค.67'!D26+'พ.ย.67'!D26+'ธ.ค.67'!D26+'ม.ค.68'!D26+'ก.พ.68'!D26+'มี.ค.68'!D26+'เม.ย.68'!D26+'พ.ค.68'!D26+'มิ.ย.68'!D26+'ก.ค.68'!D26+'ส.ค.68'!D26+D26</f>
        <v>484706251</v>
      </c>
      <c r="M26" s="60">
        <f>'ต.ค.67'!G26+'พ.ย.67'!G26+'ธ.ค.67'!G26+'ม.ค.68'!G26+'ก.พ.68'!G26+'มี.ค.68'!G26+'เม.ย.68'!G26+'พ.ค.68'!G26+'มิ.ย.68'!G26+'ก.ค.68'!G26+'ส.ค.68'!G26+G26</f>
        <v>129544615.1</v>
      </c>
      <c r="N26" s="60">
        <f t="shared" si="3"/>
        <v>26.72641726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60">
        <f>'ต.ค.67'!G26+'พ.ย.67'!G26+'ธ.ค.67'!G26+'ม.ค.68'!G26+'ก.พ.68'!G26+'มี.ค.68'!G26+'เม.ย.68'!G26+'พ.ค.68'!G26+'มิ.ย.68'!G26+'ก.ค.68'!G26+'ส.ค.68'!G26+G26</f>
        <v>129544615.1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mergeCells count="8">
    <mergeCell ref="A1:A2"/>
    <mergeCell ref="B1:B2"/>
    <mergeCell ref="G1:H1"/>
    <mergeCell ref="I1:I2"/>
    <mergeCell ref="G2:H2"/>
    <mergeCell ref="J2:J3"/>
    <mergeCell ref="K2:K3"/>
    <mergeCell ref="A26:B26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6.75"/>
    <col customWidth="1" min="3" max="3" width="17.75"/>
    <col customWidth="1" min="4" max="4" width="22.0"/>
    <col customWidth="1" min="5" max="6" width="17.75"/>
    <col customWidth="1" min="7" max="7" width="18.5"/>
    <col customWidth="1" min="8" max="8" width="22.0"/>
    <col customWidth="1" min="10" max="10" width="19.13"/>
    <col customWidth="1" min="11" max="11" width="18.88"/>
    <col customWidth="1" min="12" max="12" width="15.63"/>
  </cols>
  <sheetData>
    <row r="1" ht="29.25" customHeight="1">
      <c r="A1" s="16" t="s">
        <v>36</v>
      </c>
      <c r="B1" s="16" t="s">
        <v>37</v>
      </c>
      <c r="C1" s="26"/>
      <c r="D1" s="26"/>
      <c r="E1" s="26"/>
      <c r="F1" s="26"/>
      <c r="G1" s="57"/>
      <c r="H1" s="20"/>
      <c r="I1" s="59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9.25" customHeight="1">
      <c r="A2" s="21"/>
      <c r="B2" s="21"/>
      <c r="C2" s="17" t="s">
        <v>38</v>
      </c>
      <c r="D2" s="17" t="s">
        <v>39</v>
      </c>
      <c r="E2" s="17" t="s">
        <v>40</v>
      </c>
      <c r="F2" s="17" t="s">
        <v>41</v>
      </c>
      <c r="G2" s="19" t="s">
        <v>42</v>
      </c>
      <c r="H2" s="20"/>
      <c r="I2" s="21"/>
      <c r="J2" s="16" t="s">
        <v>50</v>
      </c>
      <c r="K2" s="16" t="s">
        <v>51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C3" s="17" t="s">
        <v>44</v>
      </c>
      <c r="D3" s="17" t="s">
        <v>44</v>
      </c>
      <c r="E3" s="17" t="s">
        <v>44</v>
      </c>
      <c r="F3" s="17" t="s">
        <v>44</v>
      </c>
      <c r="G3" s="17" t="s">
        <v>45</v>
      </c>
      <c r="H3" s="17" t="s">
        <v>46</v>
      </c>
      <c r="J3" s="21"/>
      <c r="K3" s="2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>
        <v>1.0</v>
      </c>
      <c r="B4" s="17" t="s">
        <v>12</v>
      </c>
      <c r="C4" s="26">
        <v>4045731.25</v>
      </c>
      <c r="D4" s="26">
        <v>5047852.0</v>
      </c>
      <c r="E4" s="26">
        <v>3708284.0</v>
      </c>
      <c r="F4" s="26">
        <v>74669.87</v>
      </c>
      <c r="G4" s="9">
        <f t="shared" ref="G4:G25" si="1">D4-E4-F4</f>
        <v>1264898.13</v>
      </c>
      <c r="H4" s="9">
        <f t="shared" ref="H4:H26" si="2">(G4/D4)*100</f>
        <v>25.05814612</v>
      </c>
      <c r="I4" s="9"/>
      <c r="J4" s="17" t="s">
        <v>99</v>
      </c>
      <c r="K4" s="17" t="s">
        <v>100</v>
      </c>
      <c r="L4" s="14"/>
      <c r="M4" s="60"/>
      <c r="N4" s="60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2.0</v>
      </c>
      <c r="B5" s="17" t="s">
        <v>13</v>
      </c>
      <c r="C5" s="26"/>
      <c r="D5" s="26"/>
      <c r="E5" s="26"/>
      <c r="F5" s="26"/>
      <c r="G5" s="9">
        <f t="shared" si="1"/>
        <v>0</v>
      </c>
      <c r="H5" s="9" t="str">
        <f t="shared" si="2"/>
        <v>#DIV/0!</v>
      </c>
      <c r="I5" s="9"/>
      <c r="J5" s="17"/>
      <c r="K5" s="17"/>
      <c r="L5" s="14"/>
      <c r="M5" s="60"/>
      <c r="N5" s="60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3.0</v>
      </c>
      <c r="B6" s="17" t="s">
        <v>14</v>
      </c>
      <c r="C6" s="26">
        <v>2868881.02</v>
      </c>
      <c r="D6" s="26">
        <v>1950897.5</v>
      </c>
      <c r="E6" s="26">
        <v>1334884.0</v>
      </c>
      <c r="F6" s="26">
        <v>63446.31</v>
      </c>
      <c r="G6" s="9">
        <f t="shared" si="1"/>
        <v>552567.19</v>
      </c>
      <c r="H6" s="9">
        <f t="shared" si="2"/>
        <v>28.32374279</v>
      </c>
      <c r="I6" s="9"/>
      <c r="J6" s="25"/>
      <c r="K6" s="25"/>
      <c r="L6" s="14"/>
      <c r="M6" s="60"/>
      <c r="N6" s="60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>
        <v>4.0</v>
      </c>
      <c r="B7" s="17" t="s">
        <v>15</v>
      </c>
      <c r="C7" s="26">
        <v>2654800.0</v>
      </c>
      <c r="D7" s="26">
        <v>2377215.0</v>
      </c>
      <c r="E7" s="26">
        <v>1701438.0</v>
      </c>
      <c r="F7" s="26">
        <v>66822.0</v>
      </c>
      <c r="G7" s="9">
        <f t="shared" si="1"/>
        <v>608955</v>
      </c>
      <c r="H7" s="9">
        <f t="shared" si="2"/>
        <v>25.61631994</v>
      </c>
      <c r="I7" s="9"/>
      <c r="J7" s="17" t="s">
        <v>79</v>
      </c>
      <c r="K7" s="17" t="s">
        <v>80</v>
      </c>
      <c r="L7" s="14"/>
      <c r="M7" s="60"/>
      <c r="N7" s="60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5.0</v>
      </c>
      <c r="B8" s="17" t="s">
        <v>16</v>
      </c>
      <c r="C8" s="48">
        <v>2382265.0</v>
      </c>
      <c r="D8" s="48">
        <v>2632872.02</v>
      </c>
      <c r="E8" s="48">
        <v>1488023.0</v>
      </c>
      <c r="F8" s="49">
        <v>210500.0</v>
      </c>
      <c r="G8" s="9">
        <f t="shared" si="1"/>
        <v>934349.02</v>
      </c>
      <c r="H8" s="9">
        <f t="shared" si="2"/>
        <v>35.48782519</v>
      </c>
      <c r="I8" s="9"/>
      <c r="J8" s="17" t="s">
        <v>101</v>
      </c>
      <c r="K8" s="17" t="s">
        <v>82</v>
      </c>
      <c r="L8" s="14"/>
      <c r="M8" s="60"/>
      <c r="N8" s="60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>
        <v>6.0</v>
      </c>
      <c r="B9" s="17" t="s">
        <v>17</v>
      </c>
      <c r="C9" s="26">
        <v>2962242.0</v>
      </c>
      <c r="D9" s="26">
        <v>2893286.0</v>
      </c>
      <c r="E9" s="26">
        <v>1971000.0</v>
      </c>
      <c r="F9" s="26">
        <v>60000.0</v>
      </c>
      <c r="G9" s="9">
        <f t="shared" si="1"/>
        <v>862286</v>
      </c>
      <c r="H9" s="9">
        <f t="shared" si="2"/>
        <v>29.80299908</v>
      </c>
      <c r="I9" s="9"/>
      <c r="J9" s="17" t="s">
        <v>62</v>
      </c>
      <c r="K9" s="17" t="s">
        <v>63</v>
      </c>
      <c r="L9" s="14"/>
      <c r="M9" s="60"/>
      <c r="N9" s="60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7.0</v>
      </c>
      <c r="B10" s="17" t="s">
        <v>18</v>
      </c>
      <c r="C10" s="26">
        <v>1065114.0</v>
      </c>
      <c r="D10" s="26">
        <v>1039906.0</v>
      </c>
      <c r="E10" s="26">
        <v>870609.0</v>
      </c>
      <c r="F10" s="26">
        <v>46847.0</v>
      </c>
      <c r="G10" s="9">
        <f t="shared" si="1"/>
        <v>122450</v>
      </c>
      <c r="H10" s="9">
        <f t="shared" si="2"/>
        <v>11.77510275</v>
      </c>
      <c r="I10" s="9"/>
      <c r="J10" s="17" t="s">
        <v>64</v>
      </c>
      <c r="K10" s="17" t="s">
        <v>65</v>
      </c>
      <c r="L10" s="14"/>
      <c r="M10" s="60"/>
      <c r="N10" s="60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>
        <v>8.0</v>
      </c>
      <c r="B11" s="17" t="s">
        <v>19</v>
      </c>
      <c r="C11" s="26"/>
      <c r="D11" s="26"/>
      <c r="E11" s="29">
        <v>1128045.0</v>
      </c>
      <c r="F11" s="53">
        <v>42515.02</v>
      </c>
      <c r="G11" s="9">
        <f t="shared" si="1"/>
        <v>-1170560.02</v>
      </c>
      <c r="H11" s="9" t="str">
        <f t="shared" si="2"/>
        <v>#DIV/0!</v>
      </c>
      <c r="I11" s="9"/>
      <c r="J11" s="17"/>
      <c r="K11" s="17"/>
      <c r="L11" s="14"/>
      <c r="M11" s="60"/>
      <c r="N11" s="60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>
        <v>9.0</v>
      </c>
      <c r="B12" s="17" t="s">
        <v>20</v>
      </c>
      <c r="C12" s="26">
        <v>3105426.0</v>
      </c>
      <c r="D12" s="26">
        <v>2824500.0</v>
      </c>
      <c r="E12" s="26">
        <v>1723018.0</v>
      </c>
      <c r="F12" s="26">
        <v>175950.0</v>
      </c>
      <c r="G12" s="9">
        <f t="shared" si="1"/>
        <v>925532</v>
      </c>
      <c r="H12" s="9">
        <f t="shared" si="2"/>
        <v>32.76799434</v>
      </c>
      <c r="I12" s="9"/>
      <c r="J12" s="17" t="s">
        <v>68</v>
      </c>
      <c r="K12" s="17" t="s">
        <v>69</v>
      </c>
      <c r="L12" s="14"/>
      <c r="M12" s="60"/>
      <c r="N12" s="60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>
        <v>10.0</v>
      </c>
      <c r="B13" s="17" t="s">
        <v>21</v>
      </c>
      <c r="C13" s="26">
        <v>986356.6</v>
      </c>
      <c r="D13" s="61">
        <v>790180.0</v>
      </c>
      <c r="E13" s="26">
        <v>525905.0</v>
      </c>
      <c r="F13" s="26">
        <v>27046.0</v>
      </c>
      <c r="G13" s="9">
        <f t="shared" si="1"/>
        <v>237229</v>
      </c>
      <c r="H13" s="9">
        <f t="shared" si="2"/>
        <v>30.02214685</v>
      </c>
      <c r="I13" s="9"/>
      <c r="J13" s="25"/>
      <c r="K13" s="25"/>
      <c r="L13" s="14"/>
      <c r="M13" s="60"/>
      <c r="N13" s="60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11.0</v>
      </c>
      <c r="B14" s="17" t="s">
        <v>22</v>
      </c>
      <c r="C14" s="26">
        <v>2058303.0</v>
      </c>
      <c r="D14" s="26">
        <v>2038717.0</v>
      </c>
      <c r="E14" s="26">
        <v>1565127.0</v>
      </c>
      <c r="F14" s="26">
        <v>112636.0</v>
      </c>
      <c r="G14" s="9">
        <f t="shared" si="1"/>
        <v>360954</v>
      </c>
      <c r="H14" s="9">
        <f t="shared" si="2"/>
        <v>17.70495856</v>
      </c>
      <c r="I14" s="9"/>
      <c r="J14" s="17" t="s">
        <v>95</v>
      </c>
      <c r="K14" s="17" t="s">
        <v>96</v>
      </c>
      <c r="L14" s="14"/>
      <c r="M14" s="60"/>
      <c r="N14" s="60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12.0</v>
      </c>
      <c r="B15" s="17" t="s">
        <v>23</v>
      </c>
      <c r="C15" s="26">
        <v>3344490.0</v>
      </c>
      <c r="D15" s="26">
        <v>3242974.0</v>
      </c>
      <c r="E15" s="26">
        <v>2262585.0</v>
      </c>
      <c r="F15" s="26">
        <v>131653.0</v>
      </c>
      <c r="G15" s="9">
        <f t="shared" si="1"/>
        <v>848736</v>
      </c>
      <c r="H15" s="9">
        <f t="shared" si="2"/>
        <v>26.17153267</v>
      </c>
      <c r="I15" s="9"/>
      <c r="J15" s="25"/>
      <c r="K15" s="25"/>
      <c r="L15" s="14"/>
      <c r="M15" s="60"/>
      <c r="N15" s="60"/>
      <c r="O15" s="14"/>
      <c r="P15" s="14"/>
      <c r="Q15" s="14"/>
      <c r="R15" s="14"/>
      <c r="S15" s="13" t="s">
        <v>111</v>
      </c>
      <c r="T15" s="14"/>
      <c r="U15" s="14"/>
      <c r="V15" s="14"/>
      <c r="W15" s="14"/>
      <c r="X15" s="14"/>
      <c r="Y15" s="14"/>
      <c r="Z15" s="14"/>
    </row>
    <row r="16">
      <c r="A16" s="17">
        <v>13.0</v>
      </c>
      <c r="B16" s="17" t="s">
        <v>24</v>
      </c>
      <c r="C16" s="50">
        <v>1050797.0</v>
      </c>
      <c r="D16" s="26">
        <v>852449.0</v>
      </c>
      <c r="E16" s="26">
        <v>460127.0</v>
      </c>
      <c r="F16" s="26">
        <v>17876.0</v>
      </c>
      <c r="G16" s="9">
        <f t="shared" si="1"/>
        <v>374446</v>
      </c>
      <c r="H16" s="9">
        <f t="shared" si="2"/>
        <v>43.92591228</v>
      </c>
      <c r="I16" s="9"/>
      <c r="J16" s="17" t="s">
        <v>102</v>
      </c>
      <c r="K16" s="17"/>
      <c r="L16" s="14"/>
      <c r="M16" s="60"/>
      <c r="N16" s="60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>
        <v>14.0</v>
      </c>
      <c r="B17" s="17" t="s">
        <v>25</v>
      </c>
      <c r="C17" s="26">
        <v>2284323.0</v>
      </c>
      <c r="D17" s="26">
        <v>2012679.0</v>
      </c>
      <c r="E17" s="26">
        <v>1281755.0</v>
      </c>
      <c r="F17" s="26">
        <v>55149.0</v>
      </c>
      <c r="G17" s="9">
        <f t="shared" si="1"/>
        <v>675775</v>
      </c>
      <c r="H17" s="9">
        <f t="shared" si="2"/>
        <v>33.57589561</v>
      </c>
      <c r="I17" s="9"/>
      <c r="J17" s="17" t="s">
        <v>72</v>
      </c>
      <c r="K17" s="17" t="s">
        <v>73</v>
      </c>
      <c r="L17" s="14"/>
      <c r="M17" s="60"/>
      <c r="N17" s="60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>
        <v>15.0</v>
      </c>
      <c r="B18" s="17" t="s">
        <v>26</v>
      </c>
      <c r="C18" s="26">
        <v>596361.89</v>
      </c>
      <c r="D18" s="26">
        <v>576657.0</v>
      </c>
      <c r="E18" s="26">
        <v>233970.0</v>
      </c>
      <c r="F18" s="26">
        <v>11400.69</v>
      </c>
      <c r="G18" s="9">
        <f t="shared" si="1"/>
        <v>331286.31</v>
      </c>
      <c r="H18" s="9">
        <f t="shared" si="2"/>
        <v>57.44945609</v>
      </c>
      <c r="I18" s="9"/>
      <c r="J18" s="17" t="s">
        <v>74</v>
      </c>
      <c r="K18" s="17" t="s">
        <v>112</v>
      </c>
      <c r="L18" s="14"/>
      <c r="M18" s="60"/>
      <c r="N18" s="60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>
        <v>16.0</v>
      </c>
      <c r="B19" s="17" t="s">
        <v>27</v>
      </c>
      <c r="C19" s="26">
        <v>1644981.9</v>
      </c>
      <c r="D19" s="26">
        <v>1279169.0</v>
      </c>
      <c r="E19" s="26">
        <v>489725.0</v>
      </c>
      <c r="F19" s="26">
        <v>1693.0</v>
      </c>
      <c r="G19" s="9">
        <f t="shared" si="1"/>
        <v>787751</v>
      </c>
      <c r="H19" s="9">
        <f t="shared" si="2"/>
        <v>61.58302773</v>
      </c>
      <c r="I19" s="9"/>
      <c r="J19" s="17" t="s">
        <v>75</v>
      </c>
      <c r="K19" s="17"/>
      <c r="L19" s="14"/>
      <c r="M19" s="60"/>
      <c r="N19" s="60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>
        <v>17.0</v>
      </c>
      <c r="B20" s="17" t="s">
        <v>28</v>
      </c>
      <c r="C20" s="26">
        <v>164949.12</v>
      </c>
      <c r="D20" s="26">
        <v>160700.0</v>
      </c>
      <c r="E20" s="26">
        <v>70762.0</v>
      </c>
      <c r="F20" s="26">
        <v>10000.0</v>
      </c>
      <c r="G20" s="9">
        <f t="shared" si="1"/>
        <v>79938</v>
      </c>
      <c r="H20" s="9">
        <f t="shared" si="2"/>
        <v>49.74362166</v>
      </c>
      <c r="I20" s="9"/>
      <c r="J20" s="25"/>
      <c r="K20" s="25"/>
      <c r="L20" s="14"/>
      <c r="M20" s="60"/>
      <c r="N20" s="60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>
        <v>18.0</v>
      </c>
      <c r="B21" s="17" t="s">
        <v>29</v>
      </c>
      <c r="C21" s="26">
        <v>663582.85</v>
      </c>
      <c r="D21" s="26">
        <v>586321.87</v>
      </c>
      <c r="E21" s="26">
        <v>299556.0</v>
      </c>
      <c r="F21" s="26">
        <v>35810.0</v>
      </c>
      <c r="G21" s="9">
        <f t="shared" si="1"/>
        <v>250955.87</v>
      </c>
      <c r="H21" s="9">
        <f t="shared" si="2"/>
        <v>42.80172425</v>
      </c>
      <c r="I21" s="9"/>
      <c r="J21" s="17"/>
      <c r="K21" s="17"/>
      <c r="L21" s="14"/>
      <c r="M21" s="60"/>
      <c r="N21" s="60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>
        <v>19.0</v>
      </c>
      <c r="B22" s="17" t="s">
        <v>30</v>
      </c>
      <c r="C22" s="62">
        <v>186039.0</v>
      </c>
      <c r="D22" s="62">
        <v>154079.0</v>
      </c>
      <c r="E22" s="62">
        <v>107984.0</v>
      </c>
      <c r="F22" s="62">
        <v>8090.15</v>
      </c>
      <c r="G22" s="9">
        <f t="shared" si="1"/>
        <v>38004.85</v>
      </c>
      <c r="H22" s="9">
        <f t="shared" si="2"/>
        <v>24.66582078</v>
      </c>
      <c r="I22" s="9"/>
      <c r="J22" s="17" t="s">
        <v>105</v>
      </c>
      <c r="K22" s="17" t="s">
        <v>113</v>
      </c>
      <c r="L22" s="14"/>
      <c r="M22" s="60"/>
      <c r="N22" s="60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>
        <v>20.0</v>
      </c>
      <c r="B23" s="17" t="s">
        <v>31</v>
      </c>
      <c r="C23" s="26">
        <v>637274.0</v>
      </c>
      <c r="D23" s="26">
        <v>634818.0</v>
      </c>
      <c r="E23" s="26">
        <v>360337.0</v>
      </c>
      <c r="F23" s="26">
        <v>23554.0</v>
      </c>
      <c r="G23" s="9">
        <f t="shared" si="1"/>
        <v>250927</v>
      </c>
      <c r="H23" s="9">
        <f t="shared" si="2"/>
        <v>39.5273921</v>
      </c>
      <c r="I23" s="9"/>
      <c r="J23" s="17" t="s">
        <v>114</v>
      </c>
      <c r="K23" s="17" t="s">
        <v>115</v>
      </c>
      <c r="L23" s="14"/>
      <c r="M23" s="60"/>
      <c r="N23" s="60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>
        <v>21.0</v>
      </c>
      <c r="B24" s="17" t="s">
        <v>32</v>
      </c>
      <c r="C24" s="53">
        <v>1726776.0</v>
      </c>
      <c r="D24" s="26">
        <v>1647287.0</v>
      </c>
      <c r="E24" s="26">
        <v>759325.0</v>
      </c>
      <c r="F24" s="26">
        <v>17150.0</v>
      </c>
      <c r="G24" s="9">
        <f t="shared" si="1"/>
        <v>870812</v>
      </c>
      <c r="H24" s="9">
        <f t="shared" si="2"/>
        <v>52.8634051</v>
      </c>
      <c r="I24" s="9"/>
      <c r="J24" s="17" t="s">
        <v>116</v>
      </c>
      <c r="K24" s="17" t="s">
        <v>117</v>
      </c>
      <c r="L24" s="14"/>
      <c r="M24" s="60"/>
      <c r="N24" s="60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>
        <v>22.0</v>
      </c>
      <c r="B25" s="17" t="s">
        <v>33</v>
      </c>
      <c r="C25" s="26">
        <v>569141.0</v>
      </c>
      <c r="D25" s="26">
        <v>543555.0</v>
      </c>
      <c r="E25" s="26">
        <v>293413.0</v>
      </c>
      <c r="F25" s="26">
        <v>62000.0</v>
      </c>
      <c r="G25" s="9">
        <f t="shared" si="1"/>
        <v>188142</v>
      </c>
      <c r="H25" s="9">
        <f t="shared" si="2"/>
        <v>34.61324061</v>
      </c>
      <c r="I25" s="9"/>
      <c r="J25" s="17" t="s">
        <v>76</v>
      </c>
      <c r="K25" s="17" t="s">
        <v>77</v>
      </c>
      <c r="L25" s="14"/>
      <c r="M25" s="60"/>
      <c r="N25" s="60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5" t="s">
        <v>48</v>
      </c>
      <c r="B26" s="20"/>
      <c r="C26" s="36">
        <f t="shared" ref="C26:G26" si="3">SUM(C4:C25)</f>
        <v>34997834.63</v>
      </c>
      <c r="D26" s="36">
        <f t="shared" si="3"/>
        <v>33286114.39</v>
      </c>
      <c r="E26" s="36">
        <f t="shared" si="3"/>
        <v>22635872</v>
      </c>
      <c r="F26" s="36">
        <f t="shared" si="3"/>
        <v>1254808.04</v>
      </c>
      <c r="G26" s="36">
        <f t="shared" si="3"/>
        <v>9395434.35</v>
      </c>
      <c r="H26" s="36">
        <f t="shared" si="2"/>
        <v>28.22628751</v>
      </c>
      <c r="I26" s="51"/>
      <c r="J26" s="25"/>
      <c r="K26" s="25"/>
      <c r="L26" s="14"/>
      <c r="M26" s="60"/>
      <c r="N26" s="60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mergeCells count="8">
    <mergeCell ref="A1:A2"/>
    <mergeCell ref="B1:B2"/>
    <mergeCell ref="G1:H1"/>
    <mergeCell ref="I1:I2"/>
    <mergeCell ref="G2:H2"/>
    <mergeCell ref="J2:J3"/>
    <mergeCell ref="K2:K3"/>
    <mergeCell ref="A26:B26"/>
  </mergeCells>
  <printOptions gridLines="1" horizontalCentered="1" verticalCentered="1"/>
  <pageMargins bottom="0.75" footer="0.0" header="0.0" left="0.7" right="0.7" top="0.75"/>
  <pageSetup paperSize="9" scale="63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6.75"/>
    <col customWidth="1" min="3" max="3" width="17.75"/>
    <col customWidth="1" min="4" max="4" width="22.0"/>
    <col customWidth="1" min="5" max="6" width="17.75"/>
    <col customWidth="1" min="7" max="7" width="18.5"/>
    <col customWidth="1" min="8" max="8" width="22.0"/>
    <col customWidth="1" min="10" max="10" width="19.13"/>
    <col customWidth="1" min="11" max="11" width="18.88"/>
    <col customWidth="1" min="12" max="12" width="15.63"/>
  </cols>
  <sheetData>
    <row r="1" ht="29.25" customHeight="1">
      <c r="A1" s="16" t="s">
        <v>36</v>
      </c>
      <c r="B1" s="16" t="s">
        <v>37</v>
      </c>
      <c r="C1" s="26"/>
      <c r="D1" s="26"/>
      <c r="E1" s="26"/>
      <c r="F1" s="26"/>
      <c r="G1" s="57"/>
      <c r="H1" s="20"/>
      <c r="I1" s="59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9.25" customHeight="1">
      <c r="A2" s="21"/>
      <c r="B2" s="21"/>
      <c r="C2" s="17" t="s">
        <v>38</v>
      </c>
      <c r="D2" s="17" t="s">
        <v>39</v>
      </c>
      <c r="E2" s="17" t="s">
        <v>40</v>
      </c>
      <c r="F2" s="17" t="s">
        <v>41</v>
      </c>
      <c r="G2" s="19" t="s">
        <v>42</v>
      </c>
      <c r="H2" s="20"/>
      <c r="I2" s="21"/>
      <c r="J2" s="16" t="s">
        <v>50</v>
      </c>
      <c r="K2" s="16" t="s">
        <v>51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C3" s="17" t="s">
        <v>44</v>
      </c>
      <c r="D3" s="17" t="s">
        <v>44</v>
      </c>
      <c r="E3" s="17" t="s">
        <v>44</v>
      </c>
      <c r="F3" s="17" t="s">
        <v>44</v>
      </c>
      <c r="G3" s="17" t="s">
        <v>45</v>
      </c>
      <c r="H3" s="17" t="s">
        <v>46</v>
      </c>
      <c r="J3" s="21"/>
      <c r="K3" s="2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>
        <v>1.0</v>
      </c>
      <c r="B4" s="17" t="s">
        <v>12</v>
      </c>
      <c r="C4" s="26"/>
      <c r="D4" s="26"/>
      <c r="E4" s="26"/>
      <c r="F4" s="26"/>
      <c r="G4" s="9">
        <f t="shared" ref="G4:G25" si="1">D4-E4-F4</f>
        <v>0</v>
      </c>
      <c r="H4" s="9" t="str">
        <f t="shared" ref="H4:H26" si="2">(G4/D4)*100</f>
        <v>#DIV/0!</v>
      </c>
      <c r="I4" s="9"/>
      <c r="J4" s="17"/>
      <c r="K4" s="17"/>
      <c r="L4" s="14"/>
      <c r="M4" s="60"/>
      <c r="N4" s="60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2.0</v>
      </c>
      <c r="B5" s="17" t="s">
        <v>13</v>
      </c>
      <c r="C5" s="26"/>
      <c r="D5" s="26"/>
      <c r="E5" s="26"/>
      <c r="F5" s="26"/>
      <c r="G5" s="9">
        <f t="shared" si="1"/>
        <v>0</v>
      </c>
      <c r="H5" s="9" t="str">
        <f t="shared" si="2"/>
        <v>#DIV/0!</v>
      </c>
      <c r="I5" s="9"/>
      <c r="J5" s="17"/>
      <c r="K5" s="17"/>
      <c r="L5" s="14"/>
      <c r="M5" s="60"/>
      <c r="N5" s="60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3.0</v>
      </c>
      <c r="B6" s="17" t="s">
        <v>14</v>
      </c>
      <c r="C6" s="26"/>
      <c r="D6" s="26"/>
      <c r="E6" s="26"/>
      <c r="F6" s="26"/>
      <c r="G6" s="9">
        <f t="shared" si="1"/>
        <v>0</v>
      </c>
      <c r="H6" s="9" t="str">
        <f t="shared" si="2"/>
        <v>#DIV/0!</v>
      </c>
      <c r="I6" s="9"/>
      <c r="J6" s="25"/>
      <c r="K6" s="25"/>
      <c r="L6" s="14"/>
      <c r="M6" s="60"/>
      <c r="N6" s="60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>
        <v>4.0</v>
      </c>
      <c r="B7" s="17" t="s">
        <v>15</v>
      </c>
      <c r="C7" s="26">
        <v>3069972.0</v>
      </c>
      <c r="D7" s="26">
        <v>2347776.0</v>
      </c>
      <c r="E7" s="26">
        <v>1772574.0</v>
      </c>
      <c r="F7" s="26">
        <v>33346.68</v>
      </c>
      <c r="G7" s="9">
        <f t="shared" si="1"/>
        <v>541855.32</v>
      </c>
      <c r="H7" s="9">
        <f t="shared" si="2"/>
        <v>23.07951525</v>
      </c>
      <c r="I7" s="9"/>
      <c r="J7" s="17" t="s">
        <v>79</v>
      </c>
      <c r="K7" s="17" t="s">
        <v>80</v>
      </c>
      <c r="L7" s="14"/>
      <c r="M7" s="60"/>
      <c r="N7" s="60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5.0</v>
      </c>
      <c r="B8" s="17" t="s">
        <v>16</v>
      </c>
      <c r="C8" s="63">
        <v>2443241.0</v>
      </c>
      <c r="D8" s="63">
        <v>2655239.95</v>
      </c>
      <c r="E8" s="63">
        <v>1542140.0</v>
      </c>
      <c r="F8" s="64">
        <v>185000.0</v>
      </c>
      <c r="G8" s="9">
        <f t="shared" si="1"/>
        <v>928099.95</v>
      </c>
      <c r="H8" s="9">
        <f t="shared" si="2"/>
        <v>34.95352463</v>
      </c>
      <c r="I8" s="9"/>
      <c r="J8" s="17" t="s">
        <v>101</v>
      </c>
      <c r="K8" s="17" t="s">
        <v>82</v>
      </c>
      <c r="L8" s="14"/>
      <c r="M8" s="60"/>
      <c r="N8" s="60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>
        <v>6.0</v>
      </c>
      <c r="B9" s="17" t="s">
        <v>17</v>
      </c>
      <c r="C9" s="26">
        <v>2952750.0</v>
      </c>
      <c r="D9" s="26">
        <v>2844557.0</v>
      </c>
      <c r="E9" s="26">
        <v>2079189.0</v>
      </c>
      <c r="F9" s="26">
        <v>62946.0</v>
      </c>
      <c r="G9" s="9">
        <f t="shared" si="1"/>
        <v>702422</v>
      </c>
      <c r="H9" s="9">
        <f t="shared" si="2"/>
        <v>24.69354631</v>
      </c>
      <c r="I9" s="9"/>
      <c r="J9" s="17" t="s">
        <v>62</v>
      </c>
      <c r="K9" s="17" t="s">
        <v>63</v>
      </c>
      <c r="L9" s="14"/>
      <c r="M9" s="60"/>
      <c r="N9" s="60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7.0</v>
      </c>
      <c r="B10" s="17" t="s">
        <v>18</v>
      </c>
      <c r="C10" s="26">
        <v>1036078.3</v>
      </c>
      <c r="D10" s="26">
        <v>1008705.0</v>
      </c>
      <c r="E10" s="26">
        <v>856295.0</v>
      </c>
      <c r="F10" s="26">
        <v>47226.45</v>
      </c>
      <c r="G10" s="9">
        <f t="shared" si="1"/>
        <v>105183.55</v>
      </c>
      <c r="H10" s="9">
        <f t="shared" si="2"/>
        <v>10.42758289</v>
      </c>
      <c r="I10" s="9"/>
      <c r="J10" s="17" t="s">
        <v>118</v>
      </c>
      <c r="K10" s="17" t="s">
        <v>119</v>
      </c>
      <c r="L10" s="14"/>
      <c r="M10" s="60"/>
      <c r="N10" s="60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>
        <v>8.0</v>
      </c>
      <c r="B11" s="17" t="s">
        <v>19</v>
      </c>
      <c r="C11" s="26"/>
      <c r="D11" s="26"/>
      <c r="E11" s="29"/>
      <c r="F11" s="53"/>
      <c r="G11" s="9">
        <f t="shared" si="1"/>
        <v>0</v>
      </c>
      <c r="H11" s="9" t="str">
        <f t="shared" si="2"/>
        <v>#DIV/0!</v>
      </c>
      <c r="I11" s="9"/>
      <c r="J11" s="17"/>
      <c r="K11" s="17"/>
      <c r="L11" s="14"/>
      <c r="M11" s="60"/>
      <c r="N11" s="60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>
        <v>9.0</v>
      </c>
      <c r="B12" s="17" t="s">
        <v>20</v>
      </c>
      <c r="C12" s="26"/>
      <c r="D12" s="26"/>
      <c r="E12" s="26"/>
      <c r="F12" s="26"/>
      <c r="G12" s="9">
        <f t="shared" si="1"/>
        <v>0</v>
      </c>
      <c r="H12" s="9" t="str">
        <f t="shared" si="2"/>
        <v>#DIV/0!</v>
      </c>
      <c r="I12" s="9"/>
      <c r="J12" s="17"/>
      <c r="K12" s="17"/>
      <c r="L12" s="14"/>
      <c r="M12" s="60"/>
      <c r="N12" s="60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>
        <v>10.0</v>
      </c>
      <c r="B13" s="17" t="s">
        <v>21</v>
      </c>
      <c r="C13" s="26"/>
      <c r="D13" s="61"/>
      <c r="E13" s="26"/>
      <c r="F13" s="26"/>
      <c r="G13" s="9">
        <f t="shared" si="1"/>
        <v>0</v>
      </c>
      <c r="H13" s="9" t="str">
        <f t="shared" si="2"/>
        <v>#DIV/0!</v>
      </c>
      <c r="I13" s="9"/>
      <c r="J13" s="25"/>
      <c r="K13" s="25"/>
      <c r="L13" s="14"/>
      <c r="M13" s="60"/>
      <c r="N13" s="60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11.0</v>
      </c>
      <c r="B14" s="17" t="s">
        <v>22</v>
      </c>
      <c r="C14" s="26"/>
      <c r="D14" s="26"/>
      <c r="E14" s="26"/>
      <c r="F14" s="26"/>
      <c r="G14" s="9">
        <f t="shared" si="1"/>
        <v>0</v>
      </c>
      <c r="H14" s="9" t="str">
        <f t="shared" si="2"/>
        <v>#DIV/0!</v>
      </c>
      <c r="I14" s="9"/>
      <c r="J14" s="17"/>
      <c r="K14" s="17"/>
      <c r="L14" s="14"/>
      <c r="M14" s="60"/>
      <c r="N14" s="60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12.0</v>
      </c>
      <c r="B15" s="17" t="s">
        <v>23</v>
      </c>
      <c r="C15" s="26">
        <v>3467137.0</v>
      </c>
      <c r="D15" s="26">
        <v>3397842.0</v>
      </c>
      <c r="E15" s="26">
        <v>2347266.0</v>
      </c>
      <c r="F15" s="26">
        <v>124508.0</v>
      </c>
      <c r="G15" s="9">
        <f t="shared" si="1"/>
        <v>926068</v>
      </c>
      <c r="H15" s="9">
        <f t="shared" si="2"/>
        <v>27.25459277</v>
      </c>
      <c r="I15" s="9"/>
      <c r="J15" s="25"/>
      <c r="K15" s="25"/>
      <c r="L15" s="14"/>
      <c r="M15" s="60"/>
      <c r="N15" s="60"/>
      <c r="O15" s="14"/>
      <c r="P15" s="14"/>
      <c r="Q15" s="14"/>
      <c r="R15" s="14"/>
      <c r="S15" s="13" t="s">
        <v>111</v>
      </c>
      <c r="T15" s="14"/>
      <c r="U15" s="14"/>
      <c r="V15" s="14"/>
      <c r="W15" s="14"/>
      <c r="X15" s="14"/>
      <c r="Y15" s="14"/>
      <c r="Z15" s="14"/>
    </row>
    <row r="16">
      <c r="A16" s="17">
        <v>13.0</v>
      </c>
      <c r="B16" s="17" t="s">
        <v>24</v>
      </c>
      <c r="C16" s="50">
        <v>1096965.0</v>
      </c>
      <c r="D16" s="26">
        <v>838937.0</v>
      </c>
      <c r="E16" s="26">
        <v>458832.0</v>
      </c>
      <c r="F16" s="26">
        <v>16226.0</v>
      </c>
      <c r="G16" s="9">
        <f t="shared" si="1"/>
        <v>363879</v>
      </c>
      <c r="H16" s="9">
        <f t="shared" si="2"/>
        <v>43.3738171</v>
      </c>
      <c r="I16" s="9"/>
      <c r="J16" s="17"/>
      <c r="K16" s="17"/>
      <c r="L16" s="14"/>
      <c r="M16" s="60"/>
      <c r="N16" s="60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>
        <v>14.0</v>
      </c>
      <c r="B17" s="17" t="s">
        <v>25</v>
      </c>
      <c r="C17" s="26"/>
      <c r="D17" s="26"/>
      <c r="E17" s="26"/>
      <c r="F17" s="26"/>
      <c r="G17" s="9">
        <f t="shared" si="1"/>
        <v>0</v>
      </c>
      <c r="H17" s="9" t="str">
        <f t="shared" si="2"/>
        <v>#DIV/0!</v>
      </c>
      <c r="I17" s="9"/>
      <c r="J17" s="17"/>
      <c r="K17" s="17"/>
      <c r="L17" s="14"/>
      <c r="M17" s="60"/>
      <c r="N17" s="60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>
        <v>15.0</v>
      </c>
      <c r="B18" s="17" t="s">
        <v>26</v>
      </c>
      <c r="C18" s="26">
        <v>553507.24</v>
      </c>
      <c r="D18" s="26">
        <v>539349.0</v>
      </c>
      <c r="E18" s="26">
        <v>252676.0</v>
      </c>
      <c r="F18" s="26">
        <v>5465.17</v>
      </c>
      <c r="G18" s="9">
        <f t="shared" si="1"/>
        <v>281207.83</v>
      </c>
      <c r="H18" s="9">
        <f t="shared" si="2"/>
        <v>52.13837979</v>
      </c>
      <c r="I18" s="9"/>
      <c r="J18" s="17" t="s">
        <v>74</v>
      </c>
      <c r="K18" s="17" t="s">
        <v>84</v>
      </c>
      <c r="L18" s="14"/>
      <c r="M18" s="60"/>
      <c r="N18" s="60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>
        <v>16.0</v>
      </c>
      <c r="B19" s="17" t="s">
        <v>27</v>
      </c>
      <c r="C19" s="26">
        <v>1341821.38</v>
      </c>
      <c r="D19" s="26">
        <v>1212576.0</v>
      </c>
      <c r="E19" s="26">
        <v>513946.0</v>
      </c>
      <c r="F19" s="26">
        <v>14055.0</v>
      </c>
      <c r="G19" s="9">
        <f t="shared" si="1"/>
        <v>684575</v>
      </c>
      <c r="H19" s="9">
        <f t="shared" si="2"/>
        <v>56.45625511</v>
      </c>
      <c r="I19" s="9"/>
      <c r="J19" s="17"/>
      <c r="K19" s="17"/>
      <c r="L19" s="14"/>
      <c r="M19" s="60"/>
      <c r="N19" s="60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>
        <v>17.0</v>
      </c>
      <c r="B20" s="17" t="s">
        <v>28</v>
      </c>
      <c r="C20" s="26">
        <v>193119.36</v>
      </c>
      <c r="D20" s="26">
        <v>188010.0</v>
      </c>
      <c r="E20" s="26">
        <v>99017.0</v>
      </c>
      <c r="F20" s="26">
        <v>10000.0</v>
      </c>
      <c r="G20" s="9">
        <f t="shared" si="1"/>
        <v>78993</v>
      </c>
      <c r="H20" s="9">
        <f t="shared" si="2"/>
        <v>42.01531833</v>
      </c>
      <c r="I20" s="9"/>
      <c r="J20" s="25"/>
      <c r="K20" s="25"/>
      <c r="L20" s="14"/>
      <c r="M20" s="60"/>
      <c r="N20" s="60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>
        <v>18.0</v>
      </c>
      <c r="B21" s="17" t="s">
        <v>29</v>
      </c>
      <c r="C21" s="26"/>
      <c r="D21" s="26"/>
      <c r="E21" s="26"/>
      <c r="F21" s="26"/>
      <c r="G21" s="9">
        <f t="shared" si="1"/>
        <v>0</v>
      </c>
      <c r="H21" s="9" t="str">
        <f t="shared" si="2"/>
        <v>#DIV/0!</v>
      </c>
      <c r="I21" s="9"/>
      <c r="J21" s="17"/>
      <c r="K21" s="17"/>
      <c r="L21" s="14"/>
      <c r="M21" s="60"/>
      <c r="N21" s="60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>
        <v>19.0</v>
      </c>
      <c r="B22" s="17" t="s">
        <v>30</v>
      </c>
      <c r="C22" s="62"/>
      <c r="D22" s="62"/>
      <c r="E22" s="62"/>
      <c r="F22" s="62"/>
      <c r="G22" s="9">
        <f t="shared" si="1"/>
        <v>0</v>
      </c>
      <c r="H22" s="9" t="str">
        <f t="shared" si="2"/>
        <v>#DIV/0!</v>
      </c>
      <c r="I22" s="9"/>
      <c r="J22" s="17"/>
      <c r="K22" s="17"/>
      <c r="L22" s="14"/>
      <c r="M22" s="60"/>
      <c r="N22" s="60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>
        <v>20.0</v>
      </c>
      <c r="B23" s="17" t="s">
        <v>31</v>
      </c>
      <c r="C23" s="26"/>
      <c r="D23" s="26"/>
      <c r="E23" s="26"/>
      <c r="F23" s="26"/>
      <c r="G23" s="9">
        <f t="shared" si="1"/>
        <v>0</v>
      </c>
      <c r="H23" s="9" t="str">
        <f t="shared" si="2"/>
        <v>#DIV/0!</v>
      </c>
      <c r="I23" s="9"/>
      <c r="J23" s="17"/>
      <c r="K23" s="17"/>
      <c r="L23" s="14"/>
      <c r="M23" s="60"/>
      <c r="N23" s="60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>
        <v>21.0</v>
      </c>
      <c r="B24" s="17" t="s">
        <v>32</v>
      </c>
      <c r="C24" s="53"/>
      <c r="D24" s="26"/>
      <c r="E24" s="26"/>
      <c r="F24" s="26"/>
      <c r="G24" s="9">
        <f t="shared" si="1"/>
        <v>0</v>
      </c>
      <c r="H24" s="9" t="str">
        <f t="shared" si="2"/>
        <v>#DIV/0!</v>
      </c>
      <c r="I24" s="9"/>
      <c r="J24" s="17"/>
      <c r="K24" s="17"/>
      <c r="L24" s="14"/>
      <c r="M24" s="60"/>
      <c r="N24" s="60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>
        <v>22.0</v>
      </c>
      <c r="B25" s="17" t="s">
        <v>33</v>
      </c>
      <c r="C25" s="26">
        <v>555292.0</v>
      </c>
      <c r="D25" s="26">
        <v>539684.0</v>
      </c>
      <c r="E25" s="26">
        <v>310412.0</v>
      </c>
      <c r="F25" s="26">
        <v>60000.0</v>
      </c>
      <c r="G25" s="9">
        <f t="shared" si="1"/>
        <v>169272</v>
      </c>
      <c r="H25" s="9">
        <f t="shared" si="2"/>
        <v>31.36502101</v>
      </c>
      <c r="I25" s="9"/>
      <c r="J25" s="17" t="s">
        <v>120</v>
      </c>
      <c r="K25" s="17" t="s">
        <v>77</v>
      </c>
      <c r="L25" s="14"/>
      <c r="M25" s="60"/>
      <c r="N25" s="60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5" t="s">
        <v>48</v>
      </c>
      <c r="B26" s="20"/>
      <c r="C26" s="36"/>
      <c r="D26" s="36"/>
      <c r="E26" s="36"/>
      <c r="F26" s="36"/>
      <c r="G26" s="36">
        <f>SUM(G4:G25)</f>
        <v>4781555.65</v>
      </c>
      <c r="H26" s="36" t="str">
        <f t="shared" si="2"/>
        <v>#DIV/0!</v>
      </c>
      <c r="I26" s="51"/>
      <c r="J26" s="25"/>
      <c r="K26" s="25"/>
      <c r="L26" s="14"/>
      <c r="M26" s="60"/>
      <c r="N26" s="60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mergeCells count="8">
    <mergeCell ref="A1:A2"/>
    <mergeCell ref="B1:B2"/>
    <mergeCell ref="G1:H1"/>
    <mergeCell ref="I1:I2"/>
    <mergeCell ref="G2:H2"/>
    <mergeCell ref="J2:J3"/>
    <mergeCell ref="K2:K3"/>
    <mergeCell ref="A26:B26"/>
  </mergeCells>
  <printOptions gridLines="1" horizontalCentered="1" verticalCentered="1"/>
  <pageMargins bottom="0.75" footer="0.0" header="0.0" left="0.7" right="0.7" top="0.75"/>
  <pageSetup paperSize="9" scale="63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6.75"/>
    <col customWidth="1" min="3" max="3" width="17.75"/>
    <col customWidth="1" min="4" max="4" width="22.0"/>
    <col customWidth="1" min="5" max="6" width="17.75"/>
    <col customWidth="1" min="7" max="7" width="18.5"/>
    <col customWidth="1" min="8" max="8" width="22.0"/>
    <col customWidth="1" min="10" max="10" width="19.13"/>
    <col customWidth="1" min="11" max="11" width="18.88"/>
    <col customWidth="1" min="12" max="12" width="15.63"/>
  </cols>
  <sheetData>
    <row r="1" ht="29.25" customHeight="1">
      <c r="A1" s="16" t="s">
        <v>36</v>
      </c>
      <c r="B1" s="16" t="s">
        <v>37</v>
      </c>
      <c r="C1" s="26"/>
      <c r="D1" s="26"/>
      <c r="E1" s="26"/>
      <c r="F1" s="26"/>
      <c r="G1" s="57"/>
      <c r="H1" s="20"/>
      <c r="I1" s="59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9.25" customHeight="1">
      <c r="A2" s="21"/>
      <c r="B2" s="21"/>
      <c r="C2" s="17" t="s">
        <v>38</v>
      </c>
      <c r="D2" s="17" t="s">
        <v>39</v>
      </c>
      <c r="E2" s="17" t="s">
        <v>40</v>
      </c>
      <c r="F2" s="17" t="s">
        <v>41</v>
      </c>
      <c r="G2" s="19" t="s">
        <v>42</v>
      </c>
      <c r="H2" s="20"/>
      <c r="I2" s="21"/>
      <c r="J2" s="16" t="s">
        <v>50</v>
      </c>
      <c r="K2" s="16" t="s">
        <v>51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C3" s="17" t="s">
        <v>44</v>
      </c>
      <c r="D3" s="17" t="s">
        <v>44</v>
      </c>
      <c r="E3" s="17" t="s">
        <v>44</v>
      </c>
      <c r="F3" s="17" t="s">
        <v>44</v>
      </c>
      <c r="G3" s="17" t="s">
        <v>45</v>
      </c>
      <c r="H3" s="17" t="s">
        <v>46</v>
      </c>
      <c r="J3" s="21"/>
      <c r="K3" s="2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>
        <v>1.0</v>
      </c>
      <c r="B4" s="17" t="s">
        <v>12</v>
      </c>
      <c r="C4" s="26"/>
      <c r="D4" s="26"/>
      <c r="E4" s="26"/>
      <c r="F4" s="26"/>
      <c r="G4" s="9">
        <f t="shared" ref="G4:G25" si="1">D4-E4-F4</f>
        <v>0</v>
      </c>
      <c r="H4" s="9" t="str">
        <f t="shared" ref="H4:H26" si="2">(G4/D4)*100</f>
        <v>#DIV/0!</v>
      </c>
      <c r="I4" s="9"/>
      <c r="J4" s="17"/>
      <c r="K4" s="17"/>
      <c r="L4" s="14"/>
      <c r="M4" s="60"/>
      <c r="N4" s="60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2.0</v>
      </c>
      <c r="B5" s="17" t="s">
        <v>13</v>
      </c>
      <c r="C5" s="26"/>
      <c r="D5" s="26"/>
      <c r="E5" s="26"/>
      <c r="F5" s="26"/>
      <c r="G5" s="9">
        <f t="shared" si="1"/>
        <v>0</v>
      </c>
      <c r="H5" s="9" t="str">
        <f t="shared" si="2"/>
        <v>#DIV/0!</v>
      </c>
      <c r="I5" s="9"/>
      <c r="J5" s="17"/>
      <c r="K5" s="17"/>
      <c r="L5" s="14"/>
      <c r="M5" s="60"/>
      <c r="N5" s="60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3.0</v>
      </c>
      <c r="B6" s="17" t="s">
        <v>14</v>
      </c>
      <c r="C6" s="26"/>
      <c r="D6" s="26"/>
      <c r="E6" s="26"/>
      <c r="F6" s="26"/>
      <c r="G6" s="9">
        <f t="shared" si="1"/>
        <v>0</v>
      </c>
      <c r="H6" s="9" t="str">
        <f t="shared" si="2"/>
        <v>#DIV/0!</v>
      </c>
      <c r="I6" s="9"/>
      <c r="J6" s="25"/>
      <c r="K6" s="25"/>
      <c r="L6" s="14"/>
      <c r="M6" s="60"/>
      <c r="N6" s="60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>
        <v>4.0</v>
      </c>
      <c r="B7" s="17" t="s">
        <v>15</v>
      </c>
      <c r="C7" s="26"/>
      <c r="D7" s="26"/>
      <c r="E7" s="26"/>
      <c r="F7" s="26"/>
      <c r="G7" s="9">
        <f t="shared" si="1"/>
        <v>0</v>
      </c>
      <c r="H7" s="9" t="str">
        <f t="shared" si="2"/>
        <v>#DIV/0!</v>
      </c>
      <c r="I7" s="9"/>
      <c r="J7" s="17"/>
      <c r="K7" s="17"/>
      <c r="L7" s="14"/>
      <c r="M7" s="60"/>
      <c r="N7" s="60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5.0</v>
      </c>
      <c r="B8" s="17" t="s">
        <v>16</v>
      </c>
      <c r="C8" s="65">
        <v>2620626.0</v>
      </c>
      <c r="D8" s="65">
        <v>2807298.67</v>
      </c>
      <c r="E8" s="65">
        <v>1534886.0</v>
      </c>
      <c r="F8" s="66">
        <v>215000.0</v>
      </c>
      <c r="G8" s="9">
        <f t="shared" si="1"/>
        <v>1057412.67</v>
      </c>
      <c r="H8" s="9">
        <f t="shared" si="2"/>
        <v>37.66655402</v>
      </c>
      <c r="I8" s="9"/>
      <c r="J8" s="17" t="s">
        <v>101</v>
      </c>
      <c r="K8" s="17" t="s">
        <v>82</v>
      </c>
      <c r="L8" s="14"/>
      <c r="M8" s="60"/>
      <c r="N8" s="60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>
        <v>6.0</v>
      </c>
      <c r="B9" s="17" t="s">
        <v>17</v>
      </c>
      <c r="C9" s="67">
        <v>2918760.0</v>
      </c>
      <c r="D9" s="67">
        <v>2880735.0</v>
      </c>
      <c r="E9" s="67">
        <v>1990782.0</v>
      </c>
      <c r="F9" s="67">
        <v>63000.0</v>
      </c>
      <c r="G9" s="9">
        <f t="shared" si="1"/>
        <v>826953</v>
      </c>
      <c r="H9" s="9">
        <f t="shared" si="2"/>
        <v>28.70631974</v>
      </c>
      <c r="I9" s="9"/>
      <c r="J9" s="17" t="s">
        <v>62</v>
      </c>
      <c r="K9" s="17" t="s">
        <v>63</v>
      </c>
      <c r="L9" s="14"/>
      <c r="M9" s="60"/>
      <c r="N9" s="60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7.0</v>
      </c>
      <c r="B10" s="17" t="s">
        <v>18</v>
      </c>
      <c r="C10" s="68">
        <v>1081108.3</v>
      </c>
      <c r="D10" s="68">
        <v>1055966.0</v>
      </c>
      <c r="E10" s="69">
        <v>935898.0</v>
      </c>
      <c r="F10" s="69">
        <v>49874.0</v>
      </c>
      <c r="G10" s="9">
        <f t="shared" si="1"/>
        <v>70194</v>
      </c>
      <c r="H10" s="9">
        <f t="shared" si="2"/>
        <v>6.647373116</v>
      </c>
      <c r="I10" s="9"/>
      <c r="J10" s="17" t="s">
        <v>118</v>
      </c>
      <c r="K10" s="17" t="s">
        <v>119</v>
      </c>
      <c r="L10" s="14"/>
      <c r="M10" s="60"/>
      <c r="N10" s="60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>
        <v>8.0</v>
      </c>
      <c r="B11" s="17" t="s">
        <v>19</v>
      </c>
      <c r="C11" s="26"/>
      <c r="D11" s="26"/>
      <c r="E11" s="29"/>
      <c r="F11" s="53"/>
      <c r="G11" s="9">
        <f t="shared" si="1"/>
        <v>0</v>
      </c>
      <c r="H11" s="9" t="str">
        <f t="shared" si="2"/>
        <v>#DIV/0!</v>
      </c>
      <c r="I11" s="9"/>
      <c r="J11" s="17"/>
      <c r="K11" s="17"/>
      <c r="L11" s="14"/>
      <c r="M11" s="60"/>
      <c r="N11" s="60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>
        <v>9.0</v>
      </c>
      <c r="B12" s="17" t="s">
        <v>20</v>
      </c>
      <c r="C12" s="26"/>
      <c r="D12" s="26"/>
      <c r="E12" s="26"/>
      <c r="F12" s="26"/>
      <c r="G12" s="9">
        <f t="shared" si="1"/>
        <v>0</v>
      </c>
      <c r="H12" s="9" t="str">
        <f t="shared" si="2"/>
        <v>#DIV/0!</v>
      </c>
      <c r="I12" s="9"/>
      <c r="J12" s="17"/>
      <c r="K12" s="17"/>
      <c r="L12" s="14"/>
      <c r="M12" s="60"/>
      <c r="N12" s="60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>
        <v>10.0</v>
      </c>
      <c r="B13" s="17" t="s">
        <v>21</v>
      </c>
      <c r="C13" s="26"/>
      <c r="D13" s="61"/>
      <c r="E13" s="26"/>
      <c r="F13" s="26"/>
      <c r="G13" s="9">
        <f t="shared" si="1"/>
        <v>0</v>
      </c>
      <c r="H13" s="9" t="str">
        <f t="shared" si="2"/>
        <v>#DIV/0!</v>
      </c>
      <c r="I13" s="9"/>
      <c r="J13" s="25"/>
      <c r="K13" s="25"/>
      <c r="L13" s="14"/>
      <c r="M13" s="60"/>
      <c r="N13" s="60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11.0</v>
      </c>
      <c r="B14" s="17" t="s">
        <v>22</v>
      </c>
      <c r="C14" s="26"/>
      <c r="D14" s="26"/>
      <c r="E14" s="26"/>
      <c r="F14" s="26"/>
      <c r="G14" s="9">
        <f t="shared" si="1"/>
        <v>0</v>
      </c>
      <c r="H14" s="9" t="str">
        <f t="shared" si="2"/>
        <v>#DIV/0!</v>
      </c>
      <c r="I14" s="9"/>
      <c r="J14" s="17"/>
      <c r="K14" s="17"/>
      <c r="L14" s="14"/>
      <c r="M14" s="60"/>
      <c r="N14" s="60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12.0</v>
      </c>
      <c r="B15" s="17" t="s">
        <v>23</v>
      </c>
      <c r="C15" s="26"/>
      <c r="D15" s="26"/>
      <c r="E15" s="26"/>
      <c r="F15" s="26"/>
      <c r="G15" s="9">
        <f t="shared" si="1"/>
        <v>0</v>
      </c>
      <c r="H15" s="9" t="str">
        <f t="shared" si="2"/>
        <v>#DIV/0!</v>
      </c>
      <c r="I15" s="9"/>
      <c r="J15" s="25"/>
      <c r="K15" s="25"/>
      <c r="L15" s="14"/>
      <c r="M15" s="60"/>
      <c r="N15" s="60"/>
      <c r="O15" s="14"/>
      <c r="P15" s="14"/>
      <c r="Q15" s="14"/>
      <c r="R15" s="14"/>
      <c r="S15" s="13" t="s">
        <v>111</v>
      </c>
      <c r="T15" s="14"/>
      <c r="U15" s="14"/>
      <c r="V15" s="14"/>
      <c r="W15" s="14"/>
      <c r="X15" s="14"/>
      <c r="Y15" s="14"/>
      <c r="Z15" s="14"/>
    </row>
    <row r="16">
      <c r="A16" s="17">
        <v>13.0</v>
      </c>
      <c r="B16" s="17" t="s">
        <v>24</v>
      </c>
      <c r="C16" s="50">
        <v>1121588.0</v>
      </c>
      <c r="D16" s="26">
        <v>859679.0</v>
      </c>
      <c r="E16" s="26">
        <v>520776.0</v>
      </c>
      <c r="F16" s="26">
        <v>18742.0</v>
      </c>
      <c r="G16" s="9">
        <f t="shared" si="1"/>
        <v>320161</v>
      </c>
      <c r="H16" s="9">
        <f t="shared" si="2"/>
        <v>37.24192402</v>
      </c>
      <c r="I16" s="9"/>
      <c r="J16" s="17" t="s">
        <v>70</v>
      </c>
      <c r="K16" s="17" t="s">
        <v>121</v>
      </c>
      <c r="L16" s="14"/>
      <c r="M16" s="60"/>
      <c r="N16" s="60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>
        <v>14.0</v>
      </c>
      <c r="B17" s="17" t="s">
        <v>25</v>
      </c>
      <c r="C17" s="26"/>
      <c r="D17" s="26"/>
      <c r="E17" s="26"/>
      <c r="F17" s="26"/>
      <c r="G17" s="9">
        <f t="shared" si="1"/>
        <v>0</v>
      </c>
      <c r="H17" s="9" t="str">
        <f t="shared" si="2"/>
        <v>#DIV/0!</v>
      </c>
      <c r="I17" s="9"/>
      <c r="J17" s="17"/>
      <c r="K17" s="17"/>
      <c r="L17" s="14"/>
      <c r="M17" s="60"/>
      <c r="N17" s="60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>
        <v>15.0</v>
      </c>
      <c r="B18" s="17" t="s">
        <v>26</v>
      </c>
      <c r="C18" s="26">
        <v>599869.53</v>
      </c>
      <c r="D18" s="26">
        <v>576495.0</v>
      </c>
      <c r="E18" s="26">
        <v>245566.0</v>
      </c>
      <c r="F18" s="26">
        <v>11940.34</v>
      </c>
      <c r="G18" s="9">
        <f t="shared" si="1"/>
        <v>318988.66</v>
      </c>
      <c r="H18" s="9">
        <f t="shared" si="2"/>
        <v>55.33242439</v>
      </c>
      <c r="I18" s="9"/>
      <c r="J18" s="17"/>
      <c r="K18" s="17"/>
      <c r="L18" s="14"/>
      <c r="M18" s="60"/>
      <c r="N18" s="60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>
        <v>16.0</v>
      </c>
      <c r="B19" s="17" t="s">
        <v>27</v>
      </c>
      <c r="C19" s="26"/>
      <c r="D19" s="26"/>
      <c r="E19" s="26"/>
      <c r="F19" s="26"/>
      <c r="G19" s="9">
        <f t="shared" si="1"/>
        <v>0</v>
      </c>
      <c r="H19" s="9" t="str">
        <f t="shared" si="2"/>
        <v>#DIV/0!</v>
      </c>
      <c r="I19" s="9"/>
      <c r="J19" s="17"/>
      <c r="K19" s="17"/>
      <c r="L19" s="14"/>
      <c r="M19" s="60"/>
      <c r="N19" s="60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>
        <v>17.0</v>
      </c>
      <c r="B20" s="17" t="s">
        <v>28</v>
      </c>
      <c r="C20" s="26">
        <v>181655.04</v>
      </c>
      <c r="D20" s="26">
        <v>172666.0</v>
      </c>
      <c r="E20" s="26">
        <v>70145.0</v>
      </c>
      <c r="F20" s="26">
        <v>10000.0</v>
      </c>
      <c r="G20" s="9">
        <f t="shared" si="1"/>
        <v>92521</v>
      </c>
      <c r="H20" s="9">
        <f t="shared" si="2"/>
        <v>53.58379762</v>
      </c>
      <c r="J20" s="25"/>
      <c r="K20" s="25"/>
      <c r="L20" s="14"/>
      <c r="M20" s="60"/>
      <c r="N20" s="60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>
        <v>18.0</v>
      </c>
      <c r="B21" s="17" t="s">
        <v>29</v>
      </c>
      <c r="C21" s="26"/>
      <c r="D21" s="26"/>
      <c r="E21" s="26"/>
      <c r="F21" s="26"/>
      <c r="G21" s="9">
        <f t="shared" si="1"/>
        <v>0</v>
      </c>
      <c r="H21" s="9" t="str">
        <f t="shared" si="2"/>
        <v>#DIV/0!</v>
      </c>
      <c r="I21" s="9"/>
      <c r="J21" s="17"/>
      <c r="K21" s="17"/>
      <c r="L21" s="14"/>
      <c r="M21" s="60"/>
      <c r="N21" s="60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>
        <v>19.0</v>
      </c>
      <c r="B22" s="17" t="s">
        <v>30</v>
      </c>
      <c r="C22" s="62"/>
      <c r="D22" s="62"/>
      <c r="E22" s="62"/>
      <c r="F22" s="62"/>
      <c r="G22" s="9">
        <f t="shared" si="1"/>
        <v>0</v>
      </c>
      <c r="H22" s="9" t="str">
        <f t="shared" si="2"/>
        <v>#DIV/0!</v>
      </c>
      <c r="I22" s="9"/>
      <c r="J22" s="17"/>
      <c r="K22" s="17"/>
      <c r="L22" s="14"/>
      <c r="M22" s="60"/>
      <c r="N22" s="60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>
        <v>20.0</v>
      </c>
      <c r="B23" s="17" t="s">
        <v>31</v>
      </c>
      <c r="C23" s="26"/>
      <c r="D23" s="26"/>
      <c r="E23" s="26"/>
      <c r="F23" s="26"/>
      <c r="G23" s="9">
        <f t="shared" si="1"/>
        <v>0</v>
      </c>
      <c r="H23" s="9" t="str">
        <f t="shared" si="2"/>
        <v>#DIV/0!</v>
      </c>
      <c r="I23" s="9"/>
      <c r="J23" s="17"/>
      <c r="K23" s="17"/>
      <c r="L23" s="14"/>
      <c r="M23" s="60"/>
      <c r="N23" s="60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>
        <v>21.0</v>
      </c>
      <c r="B24" s="17" t="s">
        <v>32</v>
      </c>
      <c r="C24" s="53"/>
      <c r="D24" s="26"/>
      <c r="E24" s="26"/>
      <c r="F24" s="26"/>
      <c r="G24" s="9">
        <f t="shared" si="1"/>
        <v>0</v>
      </c>
      <c r="H24" s="9" t="str">
        <f t="shared" si="2"/>
        <v>#DIV/0!</v>
      </c>
      <c r="I24" s="9"/>
      <c r="J24" s="17"/>
      <c r="K24" s="17"/>
      <c r="L24" s="14"/>
      <c r="M24" s="60"/>
      <c r="N24" s="60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>
        <v>22.0</v>
      </c>
      <c r="B25" s="17" t="s">
        <v>33</v>
      </c>
      <c r="C25" s="26">
        <v>571025.0</v>
      </c>
      <c r="D25" s="26">
        <v>565536.0</v>
      </c>
      <c r="E25" s="26">
        <v>311616.0</v>
      </c>
      <c r="F25" s="26">
        <v>68000.0</v>
      </c>
      <c r="G25" s="9">
        <f t="shared" si="1"/>
        <v>185920</v>
      </c>
      <c r="H25" s="9">
        <f t="shared" si="2"/>
        <v>32.87500707</v>
      </c>
      <c r="I25" s="9"/>
      <c r="J25" s="17"/>
      <c r="K25" s="17"/>
      <c r="L25" s="14"/>
      <c r="M25" s="60"/>
      <c r="N25" s="60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5" t="s">
        <v>48</v>
      </c>
      <c r="B26" s="20"/>
      <c r="C26" s="36"/>
      <c r="D26" s="36"/>
      <c r="E26" s="36"/>
      <c r="F26" s="36"/>
      <c r="G26" s="36">
        <f>SUM(G4:G25)</f>
        <v>2872150.33</v>
      </c>
      <c r="H26" s="36" t="str">
        <f t="shared" si="2"/>
        <v>#DIV/0!</v>
      </c>
      <c r="I26" s="51"/>
      <c r="J26" s="25"/>
      <c r="K26" s="25"/>
      <c r="L26" s="14"/>
      <c r="M26" s="60"/>
      <c r="N26" s="60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mergeCells count="8">
    <mergeCell ref="A1:A2"/>
    <mergeCell ref="B1:B2"/>
    <mergeCell ref="G1:H1"/>
    <mergeCell ref="I1:I2"/>
    <mergeCell ref="G2:H2"/>
    <mergeCell ref="J2:J3"/>
    <mergeCell ref="K2:K3"/>
    <mergeCell ref="A26:B26"/>
  </mergeCells>
  <printOptions gridLines="1" horizontalCentered="1" verticalCentered="1"/>
  <pageMargins bottom="0.75" footer="0.0" header="0.0" left="0.7" right="0.7" top="0.75"/>
  <pageSetup paperSize="9" scale="63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6.75"/>
    <col customWidth="1" min="3" max="3" width="17.75"/>
    <col customWidth="1" min="4" max="4" width="22.0"/>
    <col customWidth="1" min="5" max="6" width="17.75"/>
    <col customWidth="1" min="7" max="7" width="18.5"/>
    <col customWidth="1" min="8" max="8" width="22.0"/>
    <col customWidth="1" min="10" max="10" width="19.13"/>
    <col customWidth="1" min="11" max="11" width="18.88"/>
    <col customWidth="1" min="12" max="12" width="15.63"/>
  </cols>
  <sheetData>
    <row r="1" ht="29.25" customHeight="1">
      <c r="A1" s="16" t="s">
        <v>36</v>
      </c>
      <c r="B1" s="16" t="s">
        <v>37</v>
      </c>
      <c r="C1" s="26"/>
      <c r="D1" s="26"/>
      <c r="E1" s="26"/>
      <c r="F1" s="26"/>
      <c r="G1" s="57"/>
      <c r="H1" s="20"/>
      <c r="I1" s="59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9.25" customHeight="1">
      <c r="A2" s="21"/>
      <c r="B2" s="21"/>
      <c r="C2" s="17" t="s">
        <v>38</v>
      </c>
      <c r="D2" s="17" t="s">
        <v>39</v>
      </c>
      <c r="E2" s="17" t="s">
        <v>40</v>
      </c>
      <c r="F2" s="17" t="s">
        <v>41</v>
      </c>
      <c r="G2" s="19" t="s">
        <v>42</v>
      </c>
      <c r="H2" s="20"/>
      <c r="I2" s="21"/>
      <c r="J2" s="16" t="s">
        <v>50</v>
      </c>
      <c r="K2" s="16" t="s">
        <v>51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C3" s="17" t="s">
        <v>44</v>
      </c>
      <c r="D3" s="17" t="s">
        <v>44</v>
      </c>
      <c r="E3" s="17" t="s">
        <v>44</v>
      </c>
      <c r="F3" s="17" t="s">
        <v>44</v>
      </c>
      <c r="G3" s="17" t="s">
        <v>45</v>
      </c>
      <c r="H3" s="17" t="s">
        <v>46</v>
      </c>
      <c r="J3" s="21"/>
      <c r="K3" s="2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>
        <v>1.0</v>
      </c>
      <c r="B4" s="17" t="s">
        <v>12</v>
      </c>
      <c r="C4" s="26"/>
      <c r="D4" s="26"/>
      <c r="E4" s="26"/>
      <c r="F4" s="26"/>
      <c r="G4" s="9">
        <f t="shared" ref="G4:G25" si="1">D4-E4-F4</f>
        <v>0</v>
      </c>
      <c r="H4" s="9" t="str">
        <f t="shared" ref="H4:H26" si="2">(G4/D4)*100</f>
        <v>#DIV/0!</v>
      </c>
      <c r="I4" s="9"/>
      <c r="J4" s="17"/>
      <c r="K4" s="17"/>
      <c r="L4" s="14"/>
      <c r="M4" s="60"/>
      <c r="N4" s="60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2.0</v>
      </c>
      <c r="B5" s="17" t="s">
        <v>13</v>
      </c>
      <c r="C5" s="26"/>
      <c r="D5" s="26"/>
      <c r="E5" s="26"/>
      <c r="F5" s="26"/>
      <c r="G5" s="9">
        <f t="shared" si="1"/>
        <v>0</v>
      </c>
      <c r="H5" s="9" t="str">
        <f t="shared" si="2"/>
        <v>#DIV/0!</v>
      </c>
      <c r="I5" s="9"/>
      <c r="J5" s="17"/>
      <c r="K5" s="17"/>
      <c r="L5" s="14"/>
      <c r="M5" s="60"/>
      <c r="N5" s="60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3.0</v>
      </c>
      <c r="B6" s="17" t="s">
        <v>14</v>
      </c>
      <c r="C6" s="26"/>
      <c r="D6" s="26"/>
      <c r="E6" s="26"/>
      <c r="F6" s="26"/>
      <c r="G6" s="9">
        <f t="shared" si="1"/>
        <v>0</v>
      </c>
      <c r="H6" s="9" t="str">
        <f t="shared" si="2"/>
        <v>#DIV/0!</v>
      </c>
      <c r="I6" s="9"/>
      <c r="J6" s="25"/>
      <c r="K6" s="25"/>
      <c r="L6" s="14"/>
      <c r="M6" s="60"/>
      <c r="N6" s="60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>
        <v>4.0</v>
      </c>
      <c r="B7" s="17" t="s">
        <v>15</v>
      </c>
      <c r="C7" s="26"/>
      <c r="D7" s="26"/>
      <c r="E7" s="26"/>
      <c r="F7" s="26"/>
      <c r="G7" s="9">
        <f t="shared" si="1"/>
        <v>0</v>
      </c>
      <c r="H7" s="9" t="str">
        <f t="shared" si="2"/>
        <v>#DIV/0!</v>
      </c>
      <c r="I7" s="9"/>
      <c r="J7" s="17"/>
      <c r="K7" s="17"/>
      <c r="L7" s="14"/>
      <c r="M7" s="60"/>
      <c r="N7" s="60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5.0</v>
      </c>
      <c r="B8" s="17" t="s">
        <v>16</v>
      </c>
      <c r="C8" s="65"/>
      <c r="D8" s="65"/>
      <c r="E8" s="65"/>
      <c r="F8" s="66"/>
      <c r="G8" s="9">
        <f t="shared" si="1"/>
        <v>0</v>
      </c>
      <c r="H8" s="9" t="str">
        <f t="shared" si="2"/>
        <v>#DIV/0!</v>
      </c>
      <c r="I8" s="9"/>
      <c r="J8" s="17"/>
      <c r="K8" s="17"/>
      <c r="L8" s="14"/>
      <c r="M8" s="60"/>
      <c r="N8" s="60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>
        <v>6.0</v>
      </c>
      <c r="B9" s="17" t="s">
        <v>17</v>
      </c>
      <c r="C9" s="67"/>
      <c r="D9" s="67"/>
      <c r="E9" s="67"/>
      <c r="F9" s="67"/>
      <c r="G9" s="9">
        <f t="shared" si="1"/>
        <v>0</v>
      </c>
      <c r="H9" s="9" t="str">
        <f t="shared" si="2"/>
        <v>#DIV/0!</v>
      </c>
      <c r="I9" s="9"/>
      <c r="J9" s="17"/>
      <c r="K9" s="17"/>
      <c r="L9" s="14"/>
      <c r="M9" s="60"/>
      <c r="N9" s="60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7.0</v>
      </c>
      <c r="B10" s="17" t="s">
        <v>18</v>
      </c>
      <c r="C10" s="68">
        <v>1080260.3</v>
      </c>
      <c r="D10" s="68">
        <v>1056784.0</v>
      </c>
      <c r="E10" s="68">
        <v>897940.0</v>
      </c>
      <c r="F10" s="68">
        <v>44051.42</v>
      </c>
      <c r="G10" s="9">
        <f t="shared" si="1"/>
        <v>114792.58</v>
      </c>
      <c r="H10" s="9">
        <f t="shared" si="2"/>
        <v>10.86244493</v>
      </c>
      <c r="I10" s="9"/>
      <c r="J10" s="17" t="s">
        <v>118</v>
      </c>
      <c r="K10" s="17" t="s">
        <v>119</v>
      </c>
      <c r="L10" s="14"/>
      <c r="M10" s="60"/>
      <c r="N10" s="60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>
        <v>8.0</v>
      </c>
      <c r="B11" s="17" t="s">
        <v>19</v>
      </c>
      <c r="C11" s="26"/>
      <c r="D11" s="26"/>
      <c r="E11" s="29"/>
      <c r="F11" s="53"/>
      <c r="G11" s="9">
        <f t="shared" si="1"/>
        <v>0</v>
      </c>
      <c r="H11" s="9" t="str">
        <f t="shared" si="2"/>
        <v>#DIV/0!</v>
      </c>
      <c r="I11" s="9"/>
      <c r="J11" s="17"/>
      <c r="K11" s="17"/>
      <c r="L11" s="14"/>
      <c r="M11" s="60"/>
      <c r="N11" s="60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>
        <v>9.0</v>
      </c>
      <c r="B12" s="17" t="s">
        <v>20</v>
      </c>
      <c r="C12" s="26"/>
      <c r="D12" s="26"/>
      <c r="E12" s="26"/>
      <c r="F12" s="26"/>
      <c r="G12" s="9">
        <f t="shared" si="1"/>
        <v>0</v>
      </c>
      <c r="H12" s="9" t="str">
        <f t="shared" si="2"/>
        <v>#DIV/0!</v>
      </c>
      <c r="I12" s="9"/>
      <c r="J12" s="17"/>
      <c r="K12" s="17"/>
      <c r="L12" s="14"/>
      <c r="M12" s="60"/>
      <c r="N12" s="60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>
        <v>10.0</v>
      </c>
      <c r="B13" s="17" t="s">
        <v>21</v>
      </c>
      <c r="C13" s="26"/>
      <c r="D13" s="61"/>
      <c r="E13" s="26"/>
      <c r="F13" s="26"/>
      <c r="G13" s="9">
        <f t="shared" si="1"/>
        <v>0</v>
      </c>
      <c r="H13" s="9" t="str">
        <f t="shared" si="2"/>
        <v>#DIV/0!</v>
      </c>
      <c r="I13" s="9"/>
      <c r="J13" s="25"/>
      <c r="K13" s="25"/>
      <c r="L13" s="14"/>
      <c r="M13" s="60"/>
      <c r="N13" s="60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11.0</v>
      </c>
      <c r="B14" s="17" t="s">
        <v>22</v>
      </c>
      <c r="C14" s="26"/>
      <c r="D14" s="26"/>
      <c r="E14" s="26"/>
      <c r="F14" s="26"/>
      <c r="G14" s="9">
        <f t="shared" si="1"/>
        <v>0</v>
      </c>
      <c r="H14" s="9" t="str">
        <f t="shared" si="2"/>
        <v>#DIV/0!</v>
      </c>
      <c r="I14" s="9"/>
      <c r="J14" s="17"/>
      <c r="K14" s="17"/>
      <c r="L14" s="14"/>
      <c r="M14" s="60"/>
      <c r="N14" s="60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12.0</v>
      </c>
      <c r="B15" s="17" t="s">
        <v>23</v>
      </c>
      <c r="C15" s="26"/>
      <c r="D15" s="26"/>
      <c r="E15" s="26"/>
      <c r="F15" s="26"/>
      <c r="G15" s="9">
        <f t="shared" si="1"/>
        <v>0</v>
      </c>
      <c r="H15" s="9" t="str">
        <f t="shared" si="2"/>
        <v>#DIV/0!</v>
      </c>
      <c r="I15" s="9"/>
      <c r="J15" s="25"/>
      <c r="K15" s="25"/>
      <c r="L15" s="14"/>
      <c r="M15" s="60"/>
      <c r="N15" s="60"/>
      <c r="O15" s="14"/>
      <c r="P15" s="14"/>
      <c r="Q15" s="14"/>
      <c r="R15" s="14"/>
      <c r="S15" s="13" t="s">
        <v>111</v>
      </c>
      <c r="T15" s="14"/>
      <c r="U15" s="14"/>
      <c r="V15" s="14"/>
      <c r="W15" s="14"/>
      <c r="X15" s="14"/>
      <c r="Y15" s="14"/>
      <c r="Z15" s="14"/>
    </row>
    <row r="16">
      <c r="A16" s="17">
        <v>13.0</v>
      </c>
      <c r="B16" s="17" t="s">
        <v>24</v>
      </c>
      <c r="C16" s="50">
        <v>1122578.0</v>
      </c>
      <c r="D16" s="26">
        <v>938285.0</v>
      </c>
      <c r="E16" s="26">
        <v>522556.0</v>
      </c>
      <c r="F16" s="26">
        <v>22849.0</v>
      </c>
      <c r="G16" s="9">
        <f t="shared" si="1"/>
        <v>392880</v>
      </c>
      <c r="H16" s="9">
        <f t="shared" si="2"/>
        <v>41.87213906</v>
      </c>
      <c r="I16" s="9"/>
      <c r="J16" s="17"/>
      <c r="K16" s="17"/>
      <c r="L16" s="14"/>
      <c r="M16" s="60"/>
      <c r="N16" s="60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>
        <v>14.0</v>
      </c>
      <c r="B17" s="17" t="s">
        <v>25</v>
      </c>
      <c r="C17" s="26"/>
      <c r="D17" s="26"/>
      <c r="E17" s="26"/>
      <c r="F17" s="26"/>
      <c r="G17" s="9">
        <f t="shared" si="1"/>
        <v>0</v>
      </c>
      <c r="H17" s="9" t="str">
        <f t="shared" si="2"/>
        <v>#DIV/0!</v>
      </c>
      <c r="I17" s="9"/>
      <c r="J17" s="17"/>
      <c r="K17" s="17"/>
      <c r="L17" s="14"/>
      <c r="M17" s="60"/>
      <c r="N17" s="60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>
        <v>15.0</v>
      </c>
      <c r="B18" s="17" t="s">
        <v>26</v>
      </c>
      <c r="C18" s="26"/>
      <c r="D18" s="26"/>
      <c r="E18" s="26"/>
      <c r="F18" s="26"/>
      <c r="G18" s="9">
        <f t="shared" si="1"/>
        <v>0</v>
      </c>
      <c r="H18" s="9" t="str">
        <f t="shared" si="2"/>
        <v>#DIV/0!</v>
      </c>
      <c r="I18" s="9"/>
      <c r="J18" s="17"/>
      <c r="K18" s="17"/>
      <c r="L18" s="14"/>
      <c r="M18" s="60"/>
      <c r="N18" s="60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>
        <v>16.0</v>
      </c>
      <c r="B19" s="17" t="s">
        <v>27</v>
      </c>
      <c r="C19" s="26"/>
      <c r="D19" s="26"/>
      <c r="E19" s="26"/>
      <c r="F19" s="26"/>
      <c r="G19" s="9">
        <f t="shared" si="1"/>
        <v>0</v>
      </c>
      <c r="H19" s="9" t="str">
        <f t="shared" si="2"/>
        <v>#DIV/0!</v>
      </c>
      <c r="I19" s="9"/>
      <c r="J19" s="17"/>
      <c r="K19" s="17"/>
      <c r="L19" s="14"/>
      <c r="M19" s="60"/>
      <c r="N19" s="60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>
        <v>17.0</v>
      </c>
      <c r="B20" s="17" t="s">
        <v>28</v>
      </c>
      <c r="C20" s="26">
        <v>215052.48</v>
      </c>
      <c r="D20" s="26">
        <v>203352.0</v>
      </c>
      <c r="E20" s="26">
        <v>69431.0</v>
      </c>
      <c r="F20" s="26">
        <v>10000.0</v>
      </c>
      <c r="G20" s="9">
        <f t="shared" si="1"/>
        <v>123921</v>
      </c>
      <c r="H20" s="9">
        <f t="shared" si="2"/>
        <v>60.93915968</v>
      </c>
      <c r="J20" s="25"/>
      <c r="K20" s="25"/>
      <c r="L20" s="14"/>
      <c r="M20" s="60"/>
      <c r="N20" s="60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>
        <v>18.0</v>
      </c>
      <c r="B21" s="17" t="s">
        <v>29</v>
      </c>
      <c r="C21" s="26"/>
      <c r="D21" s="26"/>
      <c r="E21" s="26"/>
      <c r="F21" s="26"/>
      <c r="G21" s="9">
        <f t="shared" si="1"/>
        <v>0</v>
      </c>
      <c r="H21" s="9" t="str">
        <f t="shared" si="2"/>
        <v>#DIV/0!</v>
      </c>
      <c r="I21" s="9"/>
      <c r="J21" s="17"/>
      <c r="K21" s="17"/>
      <c r="L21" s="14"/>
      <c r="M21" s="60"/>
      <c r="N21" s="60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>
        <v>19.0</v>
      </c>
      <c r="B22" s="17" t="s">
        <v>30</v>
      </c>
      <c r="C22" s="62"/>
      <c r="D22" s="62"/>
      <c r="E22" s="62"/>
      <c r="F22" s="62"/>
      <c r="G22" s="9">
        <f t="shared" si="1"/>
        <v>0</v>
      </c>
      <c r="H22" s="9" t="str">
        <f t="shared" si="2"/>
        <v>#DIV/0!</v>
      </c>
      <c r="I22" s="9"/>
      <c r="J22" s="17"/>
      <c r="K22" s="17"/>
      <c r="L22" s="14"/>
      <c r="M22" s="60"/>
      <c r="N22" s="60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>
        <v>20.0</v>
      </c>
      <c r="B23" s="17" t="s">
        <v>31</v>
      </c>
      <c r="C23" s="26"/>
      <c r="D23" s="26"/>
      <c r="E23" s="26"/>
      <c r="F23" s="26"/>
      <c r="G23" s="9">
        <f t="shared" si="1"/>
        <v>0</v>
      </c>
      <c r="H23" s="9" t="str">
        <f t="shared" si="2"/>
        <v>#DIV/0!</v>
      </c>
      <c r="I23" s="9"/>
      <c r="J23" s="17"/>
      <c r="K23" s="17"/>
      <c r="L23" s="14"/>
      <c r="M23" s="60"/>
      <c r="N23" s="60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>
        <v>21.0</v>
      </c>
      <c r="B24" s="17" t="s">
        <v>32</v>
      </c>
      <c r="C24" s="53"/>
      <c r="D24" s="26"/>
      <c r="E24" s="26"/>
      <c r="F24" s="26"/>
      <c r="G24" s="9">
        <f t="shared" si="1"/>
        <v>0</v>
      </c>
      <c r="H24" s="9" t="str">
        <f t="shared" si="2"/>
        <v>#DIV/0!</v>
      </c>
      <c r="I24" s="9"/>
      <c r="J24" s="17"/>
      <c r="K24" s="17"/>
      <c r="L24" s="14"/>
      <c r="M24" s="60"/>
      <c r="N24" s="60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>
        <v>22.0</v>
      </c>
      <c r="B25" s="17" t="s">
        <v>33</v>
      </c>
      <c r="C25" s="26">
        <v>565043.0</v>
      </c>
      <c r="D25" s="26">
        <v>560894.0</v>
      </c>
      <c r="E25" s="26">
        <v>333862.0</v>
      </c>
      <c r="F25" s="26"/>
      <c r="G25" s="9">
        <f t="shared" si="1"/>
        <v>227032</v>
      </c>
      <c r="H25" s="9">
        <f t="shared" si="2"/>
        <v>40.47681024</v>
      </c>
      <c r="I25" s="9"/>
      <c r="J25" s="17"/>
      <c r="K25" s="17"/>
      <c r="L25" s="14"/>
      <c r="M25" s="60"/>
      <c r="N25" s="60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5" t="s">
        <v>48</v>
      </c>
      <c r="B26" s="20"/>
      <c r="C26" s="36"/>
      <c r="D26" s="36"/>
      <c r="E26" s="36"/>
      <c r="F26" s="36"/>
      <c r="G26" s="36">
        <f>SUM(G4:G25)</f>
        <v>858625.58</v>
      </c>
      <c r="H26" s="36" t="str">
        <f t="shared" si="2"/>
        <v>#DIV/0!</v>
      </c>
      <c r="I26" s="51"/>
      <c r="J26" s="25"/>
      <c r="K26" s="25"/>
      <c r="L26" s="14"/>
      <c r="M26" s="60"/>
      <c r="N26" s="60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mergeCells count="8">
    <mergeCell ref="A1:A2"/>
    <mergeCell ref="B1:B2"/>
    <mergeCell ref="G1:H1"/>
    <mergeCell ref="I1:I2"/>
    <mergeCell ref="G2:H2"/>
    <mergeCell ref="J2:J3"/>
    <mergeCell ref="K2:K3"/>
    <mergeCell ref="A26:B26"/>
  </mergeCells>
  <printOptions gridLines="1" horizontalCentered="1" verticalCentered="1"/>
  <pageMargins bottom="0.75" footer="0.0" header="0.0" left="0.7" right="0.7" top="0.75"/>
  <pageSetup paperSize="9" scale="63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6.75"/>
    <col customWidth="1" min="3" max="3" width="17.75"/>
    <col customWidth="1" min="4" max="4" width="22.0"/>
    <col customWidth="1" min="5" max="6" width="17.75"/>
    <col customWidth="1" min="7" max="7" width="18.5"/>
    <col customWidth="1" min="8" max="8" width="22.0"/>
    <col customWidth="1" min="10" max="10" width="19.13"/>
    <col customWidth="1" min="11" max="11" width="18.88"/>
    <col customWidth="1" min="12" max="12" width="15.63"/>
  </cols>
  <sheetData>
    <row r="1" ht="29.25" customHeight="1">
      <c r="A1" s="16" t="s">
        <v>36</v>
      </c>
      <c r="B1" s="16" t="s">
        <v>37</v>
      </c>
      <c r="C1" s="26"/>
      <c r="D1" s="26"/>
      <c r="E1" s="26"/>
      <c r="F1" s="26"/>
      <c r="G1" s="57"/>
      <c r="H1" s="20"/>
      <c r="I1" s="59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9.25" customHeight="1">
      <c r="A2" s="21"/>
      <c r="B2" s="21"/>
      <c r="C2" s="17" t="s">
        <v>38</v>
      </c>
      <c r="D2" s="17" t="s">
        <v>39</v>
      </c>
      <c r="E2" s="17" t="s">
        <v>40</v>
      </c>
      <c r="F2" s="17" t="s">
        <v>41</v>
      </c>
      <c r="G2" s="19" t="s">
        <v>42</v>
      </c>
      <c r="H2" s="20"/>
      <c r="I2" s="21"/>
      <c r="J2" s="16" t="s">
        <v>50</v>
      </c>
      <c r="K2" s="16" t="s">
        <v>51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C3" s="17" t="s">
        <v>44</v>
      </c>
      <c r="D3" s="17" t="s">
        <v>44</v>
      </c>
      <c r="E3" s="17" t="s">
        <v>44</v>
      </c>
      <c r="F3" s="17" t="s">
        <v>44</v>
      </c>
      <c r="G3" s="17" t="s">
        <v>45</v>
      </c>
      <c r="H3" s="17" t="s">
        <v>46</v>
      </c>
      <c r="J3" s="21"/>
      <c r="K3" s="2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>
        <v>1.0</v>
      </c>
      <c r="B4" s="17" t="s">
        <v>12</v>
      </c>
      <c r="C4" s="26"/>
      <c r="D4" s="26"/>
      <c r="E4" s="26"/>
      <c r="F4" s="26"/>
      <c r="G4" s="9">
        <f t="shared" ref="G4:G25" si="1">D4-E4-F4</f>
        <v>0</v>
      </c>
      <c r="H4" s="9" t="str">
        <f t="shared" ref="H4:H26" si="2">(G4/D4)*100</f>
        <v>#DIV/0!</v>
      </c>
      <c r="I4" s="9"/>
      <c r="J4" s="17"/>
      <c r="K4" s="17"/>
      <c r="L4" s="14"/>
      <c r="M4" s="60"/>
      <c r="N4" s="60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2.0</v>
      </c>
      <c r="B5" s="17" t="s">
        <v>13</v>
      </c>
      <c r="C5" s="26"/>
      <c r="D5" s="26"/>
      <c r="E5" s="26"/>
      <c r="F5" s="26"/>
      <c r="G5" s="9">
        <f t="shared" si="1"/>
        <v>0</v>
      </c>
      <c r="H5" s="9" t="str">
        <f t="shared" si="2"/>
        <v>#DIV/0!</v>
      </c>
      <c r="I5" s="9"/>
      <c r="J5" s="17"/>
      <c r="K5" s="17"/>
      <c r="L5" s="14"/>
      <c r="M5" s="60"/>
      <c r="N5" s="60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>
        <v>3.0</v>
      </c>
      <c r="B6" s="17" t="s">
        <v>14</v>
      </c>
      <c r="C6" s="26"/>
      <c r="D6" s="26"/>
      <c r="E6" s="26"/>
      <c r="F6" s="26"/>
      <c r="G6" s="9">
        <f t="shared" si="1"/>
        <v>0</v>
      </c>
      <c r="H6" s="9" t="str">
        <f t="shared" si="2"/>
        <v>#DIV/0!</v>
      </c>
      <c r="I6" s="9"/>
      <c r="J6" s="25"/>
      <c r="K6" s="25"/>
      <c r="L6" s="14"/>
      <c r="M6" s="60"/>
      <c r="N6" s="60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>
        <v>4.0</v>
      </c>
      <c r="B7" s="17" t="s">
        <v>15</v>
      </c>
      <c r="C7" s="26"/>
      <c r="D7" s="26"/>
      <c r="E7" s="26"/>
      <c r="F7" s="26"/>
      <c r="G7" s="9">
        <f t="shared" si="1"/>
        <v>0</v>
      </c>
      <c r="H7" s="9" t="str">
        <f t="shared" si="2"/>
        <v>#DIV/0!</v>
      </c>
      <c r="I7" s="9"/>
      <c r="J7" s="17"/>
      <c r="K7" s="17"/>
      <c r="L7" s="14"/>
      <c r="M7" s="60"/>
      <c r="N7" s="60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>
        <v>5.0</v>
      </c>
      <c r="B8" s="17" t="s">
        <v>16</v>
      </c>
      <c r="C8" s="65"/>
      <c r="D8" s="65"/>
      <c r="E8" s="65"/>
      <c r="F8" s="66"/>
      <c r="G8" s="9">
        <f t="shared" si="1"/>
        <v>0</v>
      </c>
      <c r="H8" s="9" t="str">
        <f t="shared" si="2"/>
        <v>#DIV/0!</v>
      </c>
      <c r="I8" s="9"/>
      <c r="J8" s="17"/>
      <c r="K8" s="17"/>
      <c r="L8" s="14"/>
      <c r="M8" s="60"/>
      <c r="N8" s="60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>
        <v>6.0</v>
      </c>
      <c r="B9" s="17" t="s">
        <v>17</v>
      </c>
      <c r="C9" s="67"/>
      <c r="D9" s="67"/>
      <c r="E9" s="67"/>
      <c r="F9" s="67"/>
      <c r="G9" s="9">
        <f t="shared" si="1"/>
        <v>0</v>
      </c>
      <c r="H9" s="9" t="str">
        <f t="shared" si="2"/>
        <v>#DIV/0!</v>
      </c>
      <c r="I9" s="9"/>
      <c r="J9" s="17"/>
      <c r="K9" s="17"/>
      <c r="L9" s="14"/>
      <c r="M9" s="60"/>
      <c r="N9" s="60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>
        <v>7.0</v>
      </c>
      <c r="B10" s="17" t="s">
        <v>18</v>
      </c>
      <c r="C10" s="68"/>
      <c r="D10" s="68"/>
      <c r="E10" s="68"/>
      <c r="F10" s="68"/>
      <c r="G10" s="9">
        <f t="shared" si="1"/>
        <v>0</v>
      </c>
      <c r="H10" s="9" t="str">
        <f t="shared" si="2"/>
        <v>#DIV/0!</v>
      </c>
      <c r="I10" s="9"/>
      <c r="J10" s="17"/>
      <c r="K10" s="17"/>
      <c r="L10" s="14"/>
      <c r="M10" s="60"/>
      <c r="N10" s="60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>
        <v>8.0</v>
      </c>
      <c r="B11" s="17" t="s">
        <v>19</v>
      </c>
      <c r="C11" s="26"/>
      <c r="D11" s="26"/>
      <c r="E11" s="29"/>
      <c r="F11" s="53"/>
      <c r="G11" s="9">
        <f t="shared" si="1"/>
        <v>0</v>
      </c>
      <c r="H11" s="9" t="str">
        <f t="shared" si="2"/>
        <v>#DIV/0!</v>
      </c>
      <c r="I11" s="9"/>
      <c r="J11" s="17"/>
      <c r="K11" s="17"/>
      <c r="L11" s="14"/>
      <c r="M11" s="60"/>
      <c r="N11" s="60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>
        <v>9.0</v>
      </c>
      <c r="B12" s="17" t="s">
        <v>20</v>
      </c>
      <c r="C12" s="26"/>
      <c r="D12" s="26"/>
      <c r="E12" s="26"/>
      <c r="F12" s="26"/>
      <c r="G12" s="9">
        <f t="shared" si="1"/>
        <v>0</v>
      </c>
      <c r="H12" s="9" t="str">
        <f t="shared" si="2"/>
        <v>#DIV/0!</v>
      </c>
      <c r="I12" s="9"/>
      <c r="J12" s="17"/>
      <c r="K12" s="17"/>
      <c r="L12" s="14"/>
      <c r="M12" s="60"/>
      <c r="N12" s="60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>
        <v>10.0</v>
      </c>
      <c r="B13" s="17" t="s">
        <v>21</v>
      </c>
      <c r="C13" s="26"/>
      <c r="D13" s="61"/>
      <c r="E13" s="26"/>
      <c r="F13" s="26"/>
      <c r="G13" s="9">
        <f t="shared" si="1"/>
        <v>0</v>
      </c>
      <c r="H13" s="9" t="str">
        <f t="shared" si="2"/>
        <v>#DIV/0!</v>
      </c>
      <c r="I13" s="9"/>
      <c r="J13" s="25"/>
      <c r="K13" s="25"/>
      <c r="L13" s="14"/>
      <c r="M13" s="60"/>
      <c r="N13" s="60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>
        <v>11.0</v>
      </c>
      <c r="B14" s="17" t="s">
        <v>22</v>
      </c>
      <c r="C14" s="26"/>
      <c r="D14" s="26"/>
      <c r="E14" s="26"/>
      <c r="F14" s="26"/>
      <c r="G14" s="9">
        <f t="shared" si="1"/>
        <v>0</v>
      </c>
      <c r="H14" s="9" t="str">
        <f t="shared" si="2"/>
        <v>#DIV/0!</v>
      </c>
      <c r="I14" s="9"/>
      <c r="J14" s="17"/>
      <c r="K14" s="17"/>
      <c r="L14" s="14"/>
      <c r="M14" s="60"/>
      <c r="N14" s="60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12.0</v>
      </c>
      <c r="B15" s="17" t="s">
        <v>23</v>
      </c>
      <c r="C15" s="26"/>
      <c r="D15" s="26"/>
      <c r="E15" s="26"/>
      <c r="F15" s="26"/>
      <c r="G15" s="9">
        <f t="shared" si="1"/>
        <v>0</v>
      </c>
      <c r="H15" s="9" t="str">
        <f t="shared" si="2"/>
        <v>#DIV/0!</v>
      </c>
      <c r="I15" s="9"/>
      <c r="J15" s="25"/>
      <c r="K15" s="25"/>
      <c r="L15" s="14"/>
      <c r="M15" s="60"/>
      <c r="N15" s="60"/>
      <c r="O15" s="14"/>
      <c r="P15" s="14"/>
      <c r="Q15" s="14"/>
      <c r="R15" s="14"/>
      <c r="S15" s="13" t="s">
        <v>111</v>
      </c>
      <c r="T15" s="14"/>
      <c r="U15" s="14"/>
      <c r="V15" s="14"/>
      <c r="W15" s="14"/>
      <c r="X15" s="14"/>
      <c r="Y15" s="14"/>
      <c r="Z15" s="14"/>
    </row>
    <row r="16">
      <c r="A16" s="17">
        <v>13.0</v>
      </c>
      <c r="B16" s="17" t="s">
        <v>24</v>
      </c>
      <c r="C16" s="50"/>
      <c r="D16" s="26"/>
      <c r="E16" s="26"/>
      <c r="F16" s="26"/>
      <c r="G16" s="9">
        <f t="shared" si="1"/>
        <v>0</v>
      </c>
      <c r="H16" s="9" t="str">
        <f t="shared" si="2"/>
        <v>#DIV/0!</v>
      </c>
      <c r="I16" s="9"/>
      <c r="J16" s="17"/>
      <c r="K16" s="17"/>
      <c r="L16" s="14"/>
      <c r="M16" s="60"/>
      <c r="N16" s="60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>
        <v>14.0</v>
      </c>
      <c r="B17" s="17" t="s">
        <v>25</v>
      </c>
      <c r="C17" s="26"/>
      <c r="D17" s="26"/>
      <c r="E17" s="26"/>
      <c r="F17" s="26"/>
      <c r="G17" s="9">
        <f t="shared" si="1"/>
        <v>0</v>
      </c>
      <c r="H17" s="9" t="str">
        <f t="shared" si="2"/>
        <v>#DIV/0!</v>
      </c>
      <c r="I17" s="9"/>
      <c r="J17" s="17"/>
      <c r="K17" s="17"/>
      <c r="L17" s="14"/>
      <c r="M17" s="60"/>
      <c r="N17" s="60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>
        <v>15.0</v>
      </c>
      <c r="B18" s="17" t="s">
        <v>26</v>
      </c>
      <c r="C18" s="26">
        <v>553030.54</v>
      </c>
      <c r="D18" s="26">
        <v>524050.0</v>
      </c>
      <c r="E18" s="26">
        <v>268619.0</v>
      </c>
      <c r="F18" s="26">
        <v>7613.0</v>
      </c>
      <c r="G18" s="9">
        <f t="shared" si="1"/>
        <v>247818</v>
      </c>
      <c r="H18" s="9">
        <f t="shared" si="2"/>
        <v>47.28899914</v>
      </c>
      <c r="I18" s="9"/>
      <c r="J18" s="17"/>
      <c r="K18" s="17"/>
      <c r="L18" s="14"/>
      <c r="M18" s="60"/>
      <c r="N18" s="60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>
        <v>16.0</v>
      </c>
      <c r="B19" s="17" t="s">
        <v>27</v>
      </c>
      <c r="C19" s="26"/>
      <c r="D19" s="26"/>
      <c r="E19" s="26"/>
      <c r="F19" s="26"/>
      <c r="G19" s="9">
        <f t="shared" si="1"/>
        <v>0</v>
      </c>
      <c r="H19" s="9" t="str">
        <f t="shared" si="2"/>
        <v>#DIV/0!</v>
      </c>
      <c r="I19" s="9"/>
      <c r="J19" s="17"/>
      <c r="K19" s="17"/>
      <c r="L19" s="14"/>
      <c r="M19" s="60"/>
      <c r="N19" s="60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>
        <v>17.0</v>
      </c>
      <c r="B20" s="17" t="s">
        <v>28</v>
      </c>
      <c r="C20" s="26">
        <v>169771.2</v>
      </c>
      <c r="D20" s="26">
        <v>164118.0</v>
      </c>
      <c r="E20" s="26">
        <v>76148.0</v>
      </c>
      <c r="F20" s="26">
        <v>10000.0</v>
      </c>
      <c r="G20" s="9">
        <f t="shared" si="1"/>
        <v>77970</v>
      </c>
      <c r="H20" s="9">
        <f t="shared" si="2"/>
        <v>47.50849998</v>
      </c>
      <c r="J20" s="25"/>
      <c r="K20" s="25"/>
      <c r="L20" s="14"/>
      <c r="M20" s="60"/>
      <c r="N20" s="60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>
        <v>18.0</v>
      </c>
      <c r="B21" s="17" t="s">
        <v>29</v>
      </c>
      <c r="C21" s="26"/>
      <c r="D21" s="26"/>
      <c r="E21" s="26"/>
      <c r="F21" s="26"/>
      <c r="G21" s="9">
        <f t="shared" si="1"/>
        <v>0</v>
      </c>
      <c r="H21" s="9" t="str">
        <f t="shared" si="2"/>
        <v>#DIV/0!</v>
      </c>
      <c r="I21" s="9"/>
      <c r="J21" s="17"/>
      <c r="K21" s="17"/>
      <c r="L21" s="14"/>
      <c r="M21" s="60"/>
      <c r="N21" s="60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>
        <v>19.0</v>
      </c>
      <c r="B22" s="17" t="s">
        <v>30</v>
      </c>
      <c r="C22" s="62"/>
      <c r="D22" s="62"/>
      <c r="E22" s="62"/>
      <c r="F22" s="62"/>
      <c r="G22" s="9">
        <f t="shared" si="1"/>
        <v>0</v>
      </c>
      <c r="H22" s="9" t="str">
        <f t="shared" si="2"/>
        <v>#DIV/0!</v>
      </c>
      <c r="I22" s="9"/>
      <c r="J22" s="17"/>
      <c r="K22" s="17"/>
      <c r="L22" s="14"/>
      <c r="M22" s="60"/>
      <c r="N22" s="60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>
        <v>20.0</v>
      </c>
      <c r="B23" s="17" t="s">
        <v>31</v>
      </c>
      <c r="C23" s="26"/>
      <c r="D23" s="26"/>
      <c r="E23" s="26"/>
      <c r="F23" s="26"/>
      <c r="G23" s="9">
        <f t="shared" si="1"/>
        <v>0</v>
      </c>
      <c r="H23" s="9" t="str">
        <f t="shared" si="2"/>
        <v>#DIV/0!</v>
      </c>
      <c r="I23" s="9"/>
      <c r="J23" s="17"/>
      <c r="K23" s="17"/>
      <c r="L23" s="14"/>
      <c r="M23" s="60"/>
      <c r="N23" s="60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>
        <v>21.0</v>
      </c>
      <c r="B24" s="17" t="s">
        <v>32</v>
      </c>
      <c r="C24" s="53"/>
      <c r="D24" s="26"/>
      <c r="E24" s="26"/>
      <c r="F24" s="26"/>
      <c r="G24" s="9">
        <f t="shared" si="1"/>
        <v>0</v>
      </c>
      <c r="H24" s="9" t="str">
        <f t="shared" si="2"/>
        <v>#DIV/0!</v>
      </c>
      <c r="I24" s="9"/>
      <c r="J24" s="17"/>
      <c r="K24" s="17"/>
      <c r="L24" s="14"/>
      <c r="M24" s="60"/>
      <c r="N24" s="60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>
        <v>22.0</v>
      </c>
      <c r="B25" s="17" t="s">
        <v>33</v>
      </c>
      <c r="C25" s="26"/>
      <c r="D25" s="26"/>
      <c r="E25" s="26"/>
      <c r="F25" s="26"/>
      <c r="G25" s="9">
        <f t="shared" si="1"/>
        <v>0</v>
      </c>
      <c r="H25" s="9" t="str">
        <f t="shared" si="2"/>
        <v>#DIV/0!</v>
      </c>
      <c r="I25" s="9"/>
      <c r="J25" s="17"/>
      <c r="K25" s="17"/>
      <c r="L25" s="14"/>
      <c r="M25" s="60"/>
      <c r="N25" s="60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5" t="s">
        <v>48</v>
      </c>
      <c r="B26" s="20"/>
      <c r="C26" s="36"/>
      <c r="D26" s="36"/>
      <c r="E26" s="36"/>
      <c r="F26" s="36"/>
      <c r="G26" s="36">
        <f>SUM(G4:G25)</f>
        <v>325788</v>
      </c>
      <c r="H26" s="36" t="str">
        <f t="shared" si="2"/>
        <v>#DIV/0!</v>
      </c>
      <c r="I26" s="51"/>
      <c r="J26" s="25"/>
      <c r="K26" s="25"/>
      <c r="L26" s="14"/>
      <c r="M26" s="60"/>
      <c r="N26" s="60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mergeCells count="8">
    <mergeCell ref="A1:A2"/>
    <mergeCell ref="B1:B2"/>
    <mergeCell ref="G1:H1"/>
    <mergeCell ref="I1:I2"/>
    <mergeCell ref="G2:H2"/>
    <mergeCell ref="J2:J3"/>
    <mergeCell ref="K2:K3"/>
    <mergeCell ref="A26:B26"/>
  </mergeCells>
  <printOptions gridLines="1" horizontalCentered="1" verticalCentered="1"/>
  <pageMargins bottom="0.75" footer="0.0" header="0.0" left="0.7" right="0.7" top="0.75"/>
  <pageSetup paperSize="9" scale="63" cellComments="atEnd" orientation="landscape" pageOrder="overThenDown"/>
  <drawing r:id="rId1"/>
</worksheet>
</file>